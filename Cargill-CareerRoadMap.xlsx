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Cargill\career-framework\"/>
    </mc:Choice>
  </mc:AlternateContent>
  <xr:revisionPtr revIDLastSave="0" documentId="13_ncr:1_{998BC791-E761-43F4-AEA0-60F0C98B4447}" xr6:coauthVersionLast="47" xr6:coauthVersionMax="47" xr10:uidLastSave="{00000000-0000-0000-0000-000000000000}"/>
  <bookViews>
    <workbookView xWindow="-120" yWindow="-120" windowWidth="29040" windowHeight="15720" xr2:uid="{E7002AA3-FD6A-41B9-9941-7110D201E6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" i="1"/>
  <c r="H8" i="1"/>
</calcChain>
</file>

<file path=xl/sharedStrings.xml><?xml version="1.0" encoding="utf-8"?>
<sst xmlns="http://schemas.openxmlformats.org/spreadsheetml/2006/main" count="504" uniqueCount="250">
  <si>
    <t>Row</t>
  </si>
  <si>
    <t>Accounts 
Payable / 
Accounts 
Receivable</t>
  </si>
  <si>
    <t>Corporate Audit</t>
  </si>
  <si>
    <t>Enterprise Finance</t>
  </si>
  <si>
    <t>Financial Accounting</t>
  </si>
  <si>
    <t>Internal Control</t>
  </si>
  <si>
    <t>Managerial Accounting</t>
  </si>
  <si>
    <t>Tax</t>
  </si>
  <si>
    <t>Trade Compliance</t>
  </si>
  <si>
    <t>Treasury</t>
  </si>
  <si>
    <t>Insurance</t>
  </si>
  <si>
    <t>Senior Vice President, Corporate Audit</t>
  </si>
  <si>
    <t>Senior Vice President, Commercial Finance</t>
  </si>
  <si>
    <t>Col</t>
  </si>
  <si>
    <t>Senior Vice President, Corporate Financial Planning &amp; Analysis</t>
  </si>
  <si>
    <t>Senior Vice President, Financial Accounting &amp; Controllership</t>
  </si>
  <si>
    <t>Senior Vice President, Tax</t>
  </si>
  <si>
    <t>Vice President, Corporate Audit</t>
  </si>
  <si>
    <t>Vice President, Commercial Finance</t>
  </si>
  <si>
    <t>Vice President, Corporate Financial Planning &amp; Analysis</t>
  </si>
  <si>
    <t>Senior Vice President, Treasury Leadership</t>
  </si>
  <si>
    <t>Vice President, Business Financial Planning &amp; Analysis</t>
  </si>
  <si>
    <t>Vice President, Financial Accounting &amp; Controllership</t>
  </si>
  <si>
    <t>Vice President, Counterparty Risk</t>
  </si>
  <si>
    <t>Vice President, Managerial Accounting</t>
  </si>
  <si>
    <t>Vice President, Tax</t>
  </si>
  <si>
    <t>Vice President, Tax Compliance</t>
  </si>
  <si>
    <t>Vice President, Tax Process</t>
  </si>
  <si>
    <t>Vice President, Trade Compliance</t>
  </si>
  <si>
    <t>Senior Director, Credit</t>
  </si>
  <si>
    <t>Senior Director, Corporate Audit</t>
  </si>
  <si>
    <t>Senior Director, Audit Quality &amp; Operations</t>
  </si>
  <si>
    <t>Senior Director, Commercial Finance</t>
  </si>
  <si>
    <t>Senior Director, Corporate Financial Planning &amp; Analysis</t>
  </si>
  <si>
    <t>Senior Director, Business Financial Planning &amp; Analysis</t>
  </si>
  <si>
    <t>Senior Director, Financial Accounting &amp; Controllership</t>
  </si>
  <si>
    <t>Senior Director, Mergers, Acquisitions, Divestitures &amp; Joint Ventures</t>
  </si>
  <si>
    <t>Senior Director, Record to Report</t>
  </si>
  <si>
    <t>Senior Director, Technical Accounting &amp; Reporting</t>
  </si>
  <si>
    <t>Sr Director, Counterparty Risk</t>
  </si>
  <si>
    <t>Senior Director, Internal Controls</t>
  </si>
  <si>
    <t>Senior Director, Managerial Accounting</t>
  </si>
  <si>
    <t>Senior Director, Tax</t>
  </si>
  <si>
    <t>Senior Director, Tax Process</t>
  </si>
  <si>
    <t>Senior Director, Tax Compliance</t>
  </si>
  <si>
    <t>Senior Director, Trade Compliance</t>
  </si>
  <si>
    <t>Senior Director,Customs Advisory</t>
  </si>
  <si>
    <t>Senior Director, Trade Compliance Operations</t>
  </si>
  <si>
    <t>Senior Director, Trade Compliance Excellence</t>
  </si>
  <si>
    <t>Senior Advisor, Commercial Finance</t>
  </si>
  <si>
    <t>Senior Advisor, Corporate Financial Planning &amp; Analysis</t>
  </si>
  <si>
    <t>Senior Advisor, Tax</t>
  </si>
  <si>
    <t>Senior Advisor, Tax Compliance</t>
  </si>
  <si>
    <t>Senior Advisor, Trade Compliance</t>
  </si>
  <si>
    <t>Director, Accounts Payable / Accounts Receivable Process</t>
  </si>
  <si>
    <t>Director, Audit Quality &amp; Operations</t>
  </si>
  <si>
    <t>Director, Collections &amp; Disputes</t>
  </si>
  <si>
    <t>Director, Credit</t>
  </si>
  <si>
    <t>Director, Commercial Finance</t>
  </si>
  <si>
    <t>Director, Corporate Financial Planning &amp; Analysis</t>
  </si>
  <si>
    <t>Director, Business Financial Planning &amp; Analysis</t>
  </si>
  <si>
    <t>Director, Financial Accounting &amp; Controllership</t>
  </si>
  <si>
    <t>Director, Consolidations</t>
  </si>
  <si>
    <t>Director, Mergers, Acquisitions, Divestitures &amp; Joint Ventures</t>
  </si>
  <si>
    <t>Director, Record to Report</t>
  </si>
  <si>
    <t>Director, Technical Accounting &amp; Reporting (TA)</t>
  </si>
  <si>
    <t>Director, Financial Services Operations</t>
  </si>
  <si>
    <t>Director, Counterparty Risk</t>
  </si>
  <si>
    <t>Director, Internal Controls</t>
  </si>
  <si>
    <t>Director, Cost Accounting</t>
  </si>
  <si>
    <t>Director, Managerial Accounting</t>
  </si>
  <si>
    <t>Director, Project Accounting (PA)</t>
  </si>
  <si>
    <t>Director, Tax</t>
  </si>
  <si>
    <t>Director, Tax Compliance</t>
  </si>
  <si>
    <t>Director, Tax Process</t>
  </si>
  <si>
    <t>Director, Customs Advisory</t>
  </si>
  <si>
    <t>Director, Trade Compliance Operations</t>
  </si>
  <si>
    <t>Director, Trade Compliance Excellence</t>
  </si>
  <si>
    <t>Advisor, Credit</t>
  </si>
  <si>
    <t>Advisor, Corporate Audit</t>
  </si>
  <si>
    <t>Advisor, Audit Risk Advisory</t>
  </si>
  <si>
    <t>Advisor, Audit Quality &amp; Operations</t>
  </si>
  <si>
    <t>Advisor, Commercial Finance</t>
  </si>
  <si>
    <t>Advisor, Corporate Financial Planning &amp; Analysis</t>
  </si>
  <si>
    <t>Advisor, Business Financial Planning &amp; Analysis</t>
  </si>
  <si>
    <t>Advisor, Financial Accounting &amp; Controllership</t>
  </si>
  <si>
    <t>Advisor, Consolidations</t>
  </si>
  <si>
    <t>Advisor, Mergers, Acquisitions, Divestitures &amp; Joint Ventures</t>
  </si>
  <si>
    <t>Advisor, Technical Accounting &amp; Reporting</t>
  </si>
  <si>
    <t>Advisor, Internal Controls</t>
  </si>
  <si>
    <t>Advisor, Cost Accounting</t>
  </si>
  <si>
    <t>Advisor, Managerial Accounting</t>
  </si>
  <si>
    <t>Advisor, Project Accounting</t>
  </si>
  <si>
    <t>Advisor, Tax</t>
  </si>
  <si>
    <t>Advisor, Tax Compliance</t>
  </si>
  <si>
    <t>Advisor, Customs Advisory</t>
  </si>
  <si>
    <t>Advisor, Customs Excise Advisory</t>
  </si>
  <si>
    <t>Advisor, Trade Compliance Operations</t>
  </si>
  <si>
    <t>Advisor, Trade Compliance Excellence</t>
  </si>
  <si>
    <t>Supervisor II, Accounts Payable / Accounts Receivable Process</t>
  </si>
  <si>
    <t>Supervisor II, Collections &amp; Disputes</t>
  </si>
  <si>
    <t>Supervisor II, Credit</t>
  </si>
  <si>
    <t>Supervisor II, Commercial Finance</t>
  </si>
  <si>
    <t>Supervisor II, Business Financial Planning &amp; Analysis</t>
  </si>
  <si>
    <t>Supervisor II, Financial Accounting &amp; Controllership</t>
  </si>
  <si>
    <t>Supervisor II, Consolidations</t>
  </si>
  <si>
    <t>Supervisor II, Record to Report</t>
  </si>
  <si>
    <t>Supervisor II, Financial Services Operations</t>
  </si>
  <si>
    <t>Supervisor II, Internal Controls</t>
  </si>
  <si>
    <t>Supervisor II, Cost Accounting</t>
  </si>
  <si>
    <t>Supervisor II, Managerial Accounting</t>
  </si>
  <si>
    <t>Supervisor II, Project Accounting</t>
  </si>
  <si>
    <t>Supervisor II, Tax</t>
  </si>
  <si>
    <t>Supervisor II, Customs Advisory</t>
  </si>
  <si>
    <t>Supervisor II, Trade Compliance Operations</t>
  </si>
  <si>
    <t>Supervisor II, Trade Compliance Excellence</t>
  </si>
  <si>
    <t>Senior Professional, Accounts Payable / Accounts Receivable Process</t>
  </si>
  <si>
    <t>Senior Professional, Credit</t>
  </si>
  <si>
    <t>Senior Professional, Corporate Audit</t>
  </si>
  <si>
    <t>Senior Professional, Audit Quality &amp; Operations</t>
  </si>
  <si>
    <t>Senior Professional, Commercial Finance</t>
  </si>
  <si>
    <t>Senior Professional, Corporate Financial Planning &amp; Analysis</t>
  </si>
  <si>
    <t>Senior Professional, Business FP&amp;A</t>
  </si>
  <si>
    <t>Senior Professional, Financial Accounting &amp; Controllership</t>
  </si>
  <si>
    <t>Senior Professional, Consolidations</t>
  </si>
  <si>
    <t>Senior Professional, Mergers, Acquisitions, Divestitures &amp; Joint Ventures</t>
  </si>
  <si>
    <t>Senior Professional, Record to Report</t>
  </si>
  <si>
    <t>Senior Professional, Technical Accounting &amp; Reporting</t>
  </si>
  <si>
    <t xml:space="preserve">Senior Professional,Financial Services &amp; Operations </t>
  </si>
  <si>
    <t>Senior Professional, Counterparty Risk</t>
  </si>
  <si>
    <t>Senior Professional, Internal Controls</t>
  </si>
  <si>
    <t>Senior Professional, Cost Accounting</t>
  </si>
  <si>
    <t>Senior Professional, Managerial Accounting</t>
  </si>
  <si>
    <t>Senior Professional, Project Accounting</t>
  </si>
  <si>
    <t>Senior Professional, Tax</t>
  </si>
  <si>
    <t>Senior Professional, Tax Compliance</t>
  </si>
  <si>
    <t>Senior Professional, Tax Process</t>
  </si>
  <si>
    <t>Senior Professional, Customs Advisory</t>
  </si>
  <si>
    <t>Senior Professional, Customs Excise Advisory</t>
  </si>
  <si>
    <t>Senior Professional, Trade Compliance Operations</t>
  </si>
  <si>
    <t>Senior Professional, Trade Compliance Excellence</t>
  </si>
  <si>
    <t>Supervisor I, Accounts Payable / Accounts Receivable Process</t>
  </si>
  <si>
    <t>Supervisor I, Collections &amp; Disputes</t>
  </si>
  <si>
    <t>Supervisor I, Credit</t>
  </si>
  <si>
    <t>Supervisor I, Business Financial Planning &amp; Analysis</t>
  </si>
  <si>
    <t>Supervisor I, Financial Accounting &amp; Controllership</t>
  </si>
  <si>
    <t>Supervisor I, Record to Report</t>
  </si>
  <si>
    <t>Supervisor I, Financial Services &amp; Operations</t>
  </si>
  <si>
    <t>Supervisor I, Internal Controls</t>
  </si>
  <si>
    <t>Supervisor I, Trade Compliance Operations</t>
  </si>
  <si>
    <t>Supervisor I, Trade Compliance Excellence</t>
  </si>
  <si>
    <t>Professional, Accounts Payable / Accounts Receivable Process</t>
  </si>
  <si>
    <t>Professional, Collections &amp; Disputes</t>
  </si>
  <si>
    <t>Professional, Credit</t>
  </si>
  <si>
    <t>Professional, Corporate Audit</t>
  </si>
  <si>
    <t>Professional, Commercial Finance</t>
  </si>
  <si>
    <t>Professional, Corporate Financial Planning &amp; Analysis</t>
  </si>
  <si>
    <t>Professional, Business Financial Planning &amp; Analysis</t>
  </si>
  <si>
    <t>Professional, Financial Accounting &amp; Controllership</t>
  </si>
  <si>
    <t>Professional, Consolidations</t>
  </si>
  <si>
    <t xml:space="preserve"> Professional, 
Mergers, 
Acquisitions, 
Divestitures &amp; 
Joint Ventures
 (DJ)</t>
  </si>
  <si>
    <t>Professional, Record to Report</t>
  </si>
  <si>
    <t>Professional, Technical Accounting &amp; Reporting</t>
  </si>
  <si>
    <t>Professional, Financial Services Operations</t>
  </si>
  <si>
    <t>Professional, Counterparty Risk</t>
  </si>
  <si>
    <t>Professional, Internal Controls</t>
  </si>
  <si>
    <t>Professional, Cost Accounting</t>
  </si>
  <si>
    <t>Professional, Managerial Accounting</t>
  </si>
  <si>
    <t>Professional, Project Accounting</t>
  </si>
  <si>
    <t>Professional, Tax</t>
  </si>
  <si>
    <t>Professional, Tax Compliance</t>
  </si>
  <si>
    <t>Professional, Customs Advisory</t>
  </si>
  <si>
    <t>Professional, Customs Excise Advisory</t>
  </si>
  <si>
    <t>Professional, Trade Compliance Operations</t>
  </si>
  <si>
    <t>Professional, Trade Compliance Excellence</t>
  </si>
  <si>
    <t>Associate Professional, Accounts Payable / Accounts Receivable Process</t>
  </si>
  <si>
    <t>Associate Professional, Collections &amp; Disputes</t>
  </si>
  <si>
    <t>Associate Professional, Credit</t>
  </si>
  <si>
    <t>Associate Professional, Corporate Audit</t>
  </si>
  <si>
    <t>Associate Professional, Business Financial Planning &amp; Analysis</t>
  </si>
  <si>
    <t>Associate Professional, Financial Accounting &amp; Controllership</t>
  </si>
  <si>
    <t>Associate Professional, Consolidations</t>
  </si>
  <si>
    <t>Associate Professional, Record to Report</t>
  </si>
  <si>
    <t>Associate Professional, Financial Services Operations</t>
  </si>
  <si>
    <t>Associate Professional, Internal Controls</t>
  </si>
  <si>
    <t>Associate Professional, Managerial Accounting</t>
  </si>
  <si>
    <t>Associate Professional, Project Accounting</t>
  </si>
  <si>
    <t>Associate Professional, Tax</t>
  </si>
  <si>
    <t>Associate Professional, Tax Compliance</t>
  </si>
  <si>
    <t>Associate Professional, Customs Advisory</t>
  </si>
  <si>
    <t>Associate Professional, Trade Compliance Operations</t>
  </si>
  <si>
    <t>Associate Professional, Trade Compliance Excellence</t>
  </si>
  <si>
    <t>Senior Support Staff, Accounts Payable / Accounts Receivable Process</t>
  </si>
  <si>
    <t>Senior Support Staff, Collections &amp; Disputes</t>
  </si>
  <si>
    <t>Senior Support Staff, Credit</t>
  </si>
  <si>
    <t>Senior Support Staff, Record to Report</t>
  </si>
  <si>
    <t>Senior Support Staff, Project Accounting</t>
  </si>
  <si>
    <t>Senior Support Staff, Tax</t>
  </si>
  <si>
    <t>Senior Support Staff, Trade Compliance Operations</t>
  </si>
  <si>
    <t>Senior Support Staff, Trade Compliance Excellence</t>
  </si>
  <si>
    <t>Support Staff, Accounts Payable / Accounts Receivable Process</t>
  </si>
  <si>
    <t>Support Staff, Collections and Disputes</t>
  </si>
  <si>
    <t>Support Staff, Credit</t>
  </si>
  <si>
    <t>Support Staff, Financial Accounting Record to Report</t>
  </si>
  <si>
    <t>Support Staff, Tax</t>
  </si>
  <si>
    <t>Support Staff, Tax Compliance</t>
  </si>
  <si>
    <t>Associate Support Staff, Accounts Payable / Accounts Receivable Process</t>
  </si>
  <si>
    <t>Associate Support Staff, Credit</t>
  </si>
  <si>
    <t>Associate Support Staff, Record to Report</t>
  </si>
  <si>
    <t>Associate Support Staff, Tax Compliance</t>
  </si>
  <si>
    <t>Senior Director, Accounts Payable / Accounts Receivable Process</t>
  </si>
  <si>
    <t>Vice President, Capital Markets &amp; Trading</t>
  </si>
  <si>
    <t>Vice President, Treasury Advisory</t>
  </si>
  <si>
    <t>Vice President, Treasury Leadership</t>
  </si>
  <si>
    <t>Senior Director, Treasury Center of Expertise</t>
  </si>
  <si>
    <t>Senior Director, Cash Management &amp; Treasury Operations</t>
  </si>
  <si>
    <t>Senior Director, Capital Markets &amp; Trading</t>
  </si>
  <si>
    <t>Senior Director, Treasury Advisory</t>
  </si>
  <si>
    <t>Senior Advisor, Capital Markets &amp; Trading</t>
  </si>
  <si>
    <t>Senior Advisor, Treasury Advisory</t>
  </si>
  <si>
    <t>Senior Advisor, Treasury Leadership</t>
  </si>
  <si>
    <t>Director, Banking Connectivity</t>
  </si>
  <si>
    <t>Director, Banking Documentation</t>
  </si>
  <si>
    <t>Director, Cash Management &amp; Treasury Operations</t>
  </si>
  <si>
    <t>Director, Capital Markets &amp; Trading</t>
  </si>
  <si>
    <t>Director, Treasury Advisory</t>
  </si>
  <si>
    <t>Advisor, Cash Management &amp; Treasury Operations</t>
  </si>
  <si>
    <t>Advisor, Treasury Advisory</t>
  </si>
  <si>
    <t>Advisor, Insurance Advisory</t>
  </si>
  <si>
    <t>Advisor, Insurance Claims</t>
  </si>
  <si>
    <t>Supervisor II, Treasury Center of Expertise</t>
  </si>
  <si>
    <t>Supervisor II, Cash Management &amp; Treasury Operations</t>
  </si>
  <si>
    <t>Senior Professional, Banking Connectivity</t>
  </si>
  <si>
    <t>Senior Professional, Banking Documentation</t>
  </si>
  <si>
    <t>Senior Professional, Treasury Center of Expertise</t>
  </si>
  <si>
    <t>Senior Professional, Cash Management &amp; Treasury Operations</t>
  </si>
  <si>
    <t>Senior
Professional, 
Treasury 
Advisory (TY)</t>
  </si>
  <si>
    <t>Senior
Professional, 
Capital 
Markets &amp; 
Trading (TD)</t>
  </si>
  <si>
    <t>Senior Professional, Insurance Advisory</t>
  </si>
  <si>
    <t>Supervisor I, Cash Management &amp; Treasury Operations</t>
  </si>
  <si>
    <t>Professional, Banking Connectivity</t>
  </si>
  <si>
    <t>Professional, Banking Documentation</t>
  </si>
  <si>
    <t>Professional, Treasury Center of Expertise</t>
  </si>
  <si>
    <t>Professional, Cash Management &amp; Treasury Operations</t>
  </si>
  <si>
    <t>Professional, Capital Markets &amp; Trading</t>
  </si>
  <si>
    <t>Professional, Treasury Advisory</t>
  </si>
  <si>
    <t>Professional, Insurance Advisory</t>
  </si>
  <si>
    <t>Associate Professional, Cash Management &amp; Treasury Operations</t>
  </si>
  <si>
    <t>Associate Professional, Treasury Advisory</t>
  </si>
  <si>
    <t>Associate Professional, Insurance Advisory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</si>
</sst>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FFBF1"/>
        <bgColor indexed="64"/>
      </patternFill>
    </fill>
    <fill>
      <patternFill patternType="solid">
        <fgColor rgb="FFC8EFF4"/>
        <bgColor indexed="64"/>
      </patternFill>
    </fill>
    <fill>
      <patternFill patternType="solid">
        <fgColor rgb="FF61BCE5"/>
        <bgColor indexed="64"/>
      </patternFill>
    </fill>
    <fill>
      <patternFill patternType="solid">
        <fgColor rgb="FFFFE7EA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3" fillId="4" borderId="0" xfId="3" applyAlignment="1"/>
    <xf numFmtId="0" fontId="1" fillId="2" borderId="0" xfId="1" applyAlignment="1">
      <alignment wrapText="1"/>
    </xf>
    <xf numFmtId="0" fontId="1" fillId="5" borderId="0" xfId="1" applyFill="1" applyAlignment="1">
      <alignment wrapText="1"/>
    </xf>
    <xf numFmtId="0" fontId="0" fillId="6" borderId="0" xfId="0" applyFill="1" applyAlignment="1">
      <alignment wrapText="1"/>
    </xf>
    <xf numFmtId="0" fontId="2" fillId="3" borderId="0" xfId="2" applyAlignment="1">
      <alignment wrapText="1"/>
    </xf>
    <xf numFmtId="0" fontId="2" fillId="8" borderId="0" xfId="2" applyFill="1" applyAlignment="1">
      <alignment wrapText="1"/>
    </xf>
    <xf numFmtId="0" fontId="4" fillId="9" borderId="0" xfId="2" applyFont="1" applyFill="1" applyAlignment="1">
      <alignment wrapText="1"/>
    </xf>
    <xf numFmtId="0" fontId="4" fillId="7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1" fillId="5" borderId="0" xfId="1" applyFill="1" applyAlignment="1"/>
    <xf numFmtId="0" fontId="1" fillId="2" borderId="0" xfId="1" applyAlignment="1"/>
    <xf numFmtId="0" fontId="0" fillId="6" borderId="0" xfId="0" applyFill="1"/>
    <xf numFmtId="0" fontId="4" fillId="7" borderId="0" xfId="0" applyFont="1" applyFill="1"/>
    <xf numFmtId="0" fontId="4" fillId="9" borderId="0" xfId="2" applyFont="1" applyFill="1" applyAlignment="1"/>
    <xf numFmtId="0" fontId="2" fillId="8" borderId="0" xfId="2" applyFill="1" applyAlignment="1"/>
    <xf numFmtId="0" fontId="2" fillId="3" borderId="0" xfId="2" applyAlignment="1"/>
    <xf numFmtId="0" fontId="4" fillId="10" borderId="0" xfId="0" applyFont="1" applyFill="1"/>
    <xf numFmtId="0" fontId="0" fillId="11" borderId="0" xfId="0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6666FF"/>
      <color rgb="FFFFE7EA"/>
      <color rgb="FF61BCE5"/>
      <color rgb="FFC8EFF4"/>
      <color rgb="FFEFFBF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D258-FC22-4339-AE99-914D12806809}">
  <dimension ref="A1:I242"/>
  <sheetViews>
    <sheetView tabSelected="1" topLeftCell="A142" zoomScale="115" zoomScaleNormal="115" workbookViewId="0">
      <selection activeCell="G168" sqref="G168"/>
    </sheetView>
  </sheetViews>
  <sheetFormatPr defaultRowHeight="15" x14ac:dyDescent="0.25"/>
  <cols>
    <col min="3" max="3" width="56.140625" customWidth="1"/>
    <col min="4" max="4" width="19.85546875" bestFit="1" customWidth="1"/>
    <col min="5" max="5" width="75.7109375" bestFit="1" customWidth="1"/>
    <col min="9" max="9" width="39.7109375" bestFit="1" customWidth="1"/>
    <col min="15" max="15" width="39.7109375" bestFit="1" customWidth="1"/>
  </cols>
  <sheetData>
    <row r="1" spans="1:9" x14ac:dyDescent="0.25">
      <c r="A1" t="s">
        <v>0</v>
      </c>
      <c r="B1" t="s">
        <v>13</v>
      </c>
    </row>
    <row r="2" spans="1:9" x14ac:dyDescent="0.25">
      <c r="A2">
        <v>1</v>
      </c>
      <c r="B2">
        <v>1</v>
      </c>
      <c r="C2" t="s">
        <v>11</v>
      </c>
      <c r="D2" s="11" t="s">
        <v>2</v>
      </c>
      <c r="E2" t="str">
        <f>"{""row"":""" &amp; A2 &amp; """,""col"":""" &amp; B2 &amp; """,""Title"":""" &amp; C2 &amp; """,""Band"":""" &amp; D2 &amp; """}, "</f>
        <v xml:space="preserve">{"row":"1","col":"1","Title":"Senior Vice President, Corporate Audit","Band":"Corporate Audit"}, </v>
      </c>
      <c r="I2" s="1" t="s">
        <v>1</v>
      </c>
    </row>
    <row r="3" spans="1:9" x14ac:dyDescent="0.25">
      <c r="A3">
        <v>1</v>
      </c>
      <c r="B3">
        <v>2</v>
      </c>
      <c r="C3" t="s">
        <v>12</v>
      </c>
      <c r="D3" s="12" t="s">
        <v>3</v>
      </c>
      <c r="E3" t="str">
        <f t="shared" ref="E3:E66" si="0">"{""row"":""" &amp; A3 &amp; """,""col"":""" &amp; B3 &amp; """,""Title"":""" &amp; C3 &amp; """,""Band"":""" &amp; D3 &amp; """}, "</f>
        <v xml:space="preserve">{"row":"1","col":"2","Title":"Senior Vice President, Commercial Finance","Band":"Enterprise Finance"}, </v>
      </c>
      <c r="I3" s="11" t="s">
        <v>2</v>
      </c>
    </row>
    <row r="4" spans="1:9" x14ac:dyDescent="0.25">
      <c r="A4">
        <v>1</v>
      </c>
      <c r="B4">
        <v>3</v>
      </c>
      <c r="C4" t="s">
        <v>14</v>
      </c>
      <c r="D4" s="12" t="s">
        <v>3</v>
      </c>
      <c r="E4" t="str">
        <f t="shared" si="0"/>
        <v xml:space="preserve">{"row":"1","col":"3","Title":"Senior Vice President, Corporate Financial Planning &amp; Analysis","Band":"Enterprise Finance"}, </v>
      </c>
      <c r="I4" s="12" t="s">
        <v>3</v>
      </c>
    </row>
    <row r="5" spans="1:9" x14ac:dyDescent="0.25">
      <c r="A5">
        <v>1</v>
      </c>
      <c r="B5">
        <v>4</v>
      </c>
      <c r="C5" t="s">
        <v>15</v>
      </c>
      <c r="D5" s="13" t="s">
        <v>4</v>
      </c>
      <c r="E5" t="str">
        <f t="shared" si="0"/>
        <v xml:space="preserve">{"row":"1","col":"4","Title":"Senior Vice President, Financial Accounting &amp; Controllership","Band":"Financial Accounting"}, </v>
      </c>
      <c r="I5" s="13" t="s">
        <v>4</v>
      </c>
    </row>
    <row r="6" spans="1:9" x14ac:dyDescent="0.25">
      <c r="A6">
        <v>1</v>
      </c>
      <c r="B6">
        <v>5</v>
      </c>
      <c r="C6" t="s">
        <v>16</v>
      </c>
      <c r="D6" s="16" t="s">
        <v>7</v>
      </c>
      <c r="E6" t="str">
        <f t="shared" si="0"/>
        <v xml:space="preserve">{"row":"1","col":"5","Title":"Senior Vice President, Tax","Band":"Tax"}, </v>
      </c>
      <c r="I6" s="14" t="s">
        <v>5</v>
      </c>
    </row>
    <row r="7" spans="1:9" x14ac:dyDescent="0.25">
      <c r="A7">
        <v>1</v>
      </c>
      <c r="B7">
        <v>6</v>
      </c>
      <c r="C7" t="s">
        <v>20</v>
      </c>
      <c r="D7" s="18" t="s">
        <v>9</v>
      </c>
      <c r="E7" t="str">
        <f t="shared" si="0"/>
        <v xml:space="preserve">{"row":"1","col":"6","Title":"Senior Vice President, Treasury Leadership","Band":"Treasury"}, </v>
      </c>
      <c r="I7" s="15" t="s">
        <v>6</v>
      </c>
    </row>
    <row r="8" spans="1:9" x14ac:dyDescent="0.25">
      <c r="A8">
        <v>2</v>
      </c>
      <c r="B8">
        <v>1</v>
      </c>
      <c r="C8" t="s">
        <v>17</v>
      </c>
      <c r="D8" s="11" t="s">
        <v>2</v>
      </c>
      <c r="E8" t="str">
        <f t="shared" si="0"/>
        <v xml:space="preserve">{"row":"2","col":"1","Title":"Vice President, Corporate Audit","Band":"Corporate Audit"}, </v>
      </c>
      <c r="H8" t="str">
        <f>+I2</f>
        <v>Accounts 
Payable / 
Accounts 
Receivable</v>
      </c>
      <c r="I8" s="16" t="s">
        <v>7</v>
      </c>
    </row>
    <row r="9" spans="1:9" x14ac:dyDescent="0.25">
      <c r="A9">
        <v>2</v>
      </c>
      <c r="B9">
        <v>2</v>
      </c>
      <c r="C9" t="s">
        <v>18</v>
      </c>
      <c r="D9" s="12" t="s">
        <v>3</v>
      </c>
      <c r="E9" t="str">
        <f t="shared" si="0"/>
        <v xml:space="preserve">{"row":"2","col":"2","Title":"Vice President, Commercial Finance","Band":"Enterprise Finance"}, </v>
      </c>
      <c r="I9" s="17" t="s">
        <v>8</v>
      </c>
    </row>
    <row r="10" spans="1:9" x14ac:dyDescent="0.25">
      <c r="A10">
        <v>2</v>
      </c>
      <c r="B10">
        <v>3</v>
      </c>
      <c r="C10" t="s">
        <v>19</v>
      </c>
      <c r="D10" s="12" t="s">
        <v>3</v>
      </c>
      <c r="E10" t="str">
        <f t="shared" si="0"/>
        <v xml:space="preserve">{"row":"2","col":"3","Title":"Vice President, Corporate Financial Planning &amp; Analysis","Band":"Enterprise Finance"}, </v>
      </c>
      <c r="I10" s="18" t="s">
        <v>9</v>
      </c>
    </row>
    <row r="11" spans="1:9" x14ac:dyDescent="0.25">
      <c r="A11">
        <v>2</v>
      </c>
      <c r="B11">
        <v>4</v>
      </c>
      <c r="C11" t="s">
        <v>21</v>
      </c>
      <c r="D11" s="12" t="s">
        <v>3</v>
      </c>
      <c r="E11" t="str">
        <f t="shared" si="0"/>
        <v xml:space="preserve">{"row":"2","col":"4","Title":"Vice President, Business Financial Planning &amp; Analysis","Band":"Enterprise Finance"}, </v>
      </c>
      <c r="I11" s="19" t="s">
        <v>10</v>
      </c>
    </row>
    <row r="12" spans="1:9" x14ac:dyDescent="0.25">
      <c r="A12">
        <v>2</v>
      </c>
      <c r="B12">
        <v>5</v>
      </c>
      <c r="C12" t="s">
        <v>22</v>
      </c>
      <c r="D12" s="13" t="s">
        <v>4</v>
      </c>
      <c r="E12" t="str">
        <f t="shared" si="0"/>
        <v xml:space="preserve">{"row":"2","col":"5","Title":"Vice President, Financial Accounting &amp; Controllership","Band":"Financial Accounting"}, </v>
      </c>
    </row>
    <row r="13" spans="1:9" x14ac:dyDescent="0.25">
      <c r="A13">
        <v>2</v>
      </c>
      <c r="B13">
        <v>6</v>
      </c>
      <c r="C13" t="s">
        <v>23</v>
      </c>
      <c r="D13" s="14" t="s">
        <v>5</v>
      </c>
      <c r="E13" t="str">
        <f t="shared" si="0"/>
        <v xml:space="preserve">{"row":"2","col":"6","Title":"Vice President, Counterparty Risk","Band":"Internal Control"}, </v>
      </c>
    </row>
    <row r="14" spans="1:9" x14ac:dyDescent="0.25">
      <c r="A14">
        <v>2</v>
      </c>
      <c r="B14">
        <v>7</v>
      </c>
      <c r="C14" t="s">
        <v>24</v>
      </c>
      <c r="D14" s="15" t="s">
        <v>6</v>
      </c>
      <c r="E14" t="str">
        <f t="shared" si="0"/>
        <v xml:space="preserve">{"row":"2","col":"7","Title":"Vice President, Managerial Accounting","Band":"Managerial Accounting"}, </v>
      </c>
    </row>
    <row r="15" spans="1:9" x14ac:dyDescent="0.25">
      <c r="A15">
        <v>2</v>
      </c>
      <c r="B15">
        <v>8</v>
      </c>
      <c r="C15" t="s">
        <v>25</v>
      </c>
      <c r="D15" s="16" t="s">
        <v>7</v>
      </c>
      <c r="E15" t="str">
        <f t="shared" si="0"/>
        <v xml:space="preserve">{"row":"2","col":"8","Title":"Vice President, Tax","Band":"Tax"}, </v>
      </c>
    </row>
    <row r="16" spans="1:9" x14ac:dyDescent="0.25">
      <c r="A16">
        <v>2</v>
      </c>
      <c r="B16">
        <v>9</v>
      </c>
      <c r="C16" t="s">
        <v>26</v>
      </c>
      <c r="D16" s="16" t="s">
        <v>7</v>
      </c>
      <c r="E16" t="str">
        <f t="shared" si="0"/>
        <v xml:space="preserve">{"row":"2","col":"9","Title":"Vice President, Tax Compliance","Band":"Tax"}, </v>
      </c>
    </row>
    <row r="17" spans="1:5" x14ac:dyDescent="0.25">
      <c r="A17">
        <v>2</v>
      </c>
      <c r="B17">
        <v>10</v>
      </c>
      <c r="C17" t="s">
        <v>27</v>
      </c>
      <c r="D17" s="16" t="s">
        <v>7</v>
      </c>
      <c r="E17" t="str">
        <f t="shared" si="0"/>
        <v xml:space="preserve">{"row":"2","col":"10","Title":"Vice President, Tax Process","Band":"Tax"}, </v>
      </c>
    </row>
    <row r="18" spans="1:5" x14ac:dyDescent="0.25">
      <c r="A18">
        <v>2</v>
      </c>
      <c r="B18">
        <v>11</v>
      </c>
      <c r="C18" t="s">
        <v>28</v>
      </c>
      <c r="D18" s="17" t="s">
        <v>8</v>
      </c>
      <c r="E18" t="str">
        <f t="shared" si="0"/>
        <v xml:space="preserve">{"row":"2","col":"11","Title":"Vice President, Trade Compliance","Band":"Trade Compliance"}, </v>
      </c>
    </row>
    <row r="19" spans="1:5" x14ac:dyDescent="0.25">
      <c r="A19">
        <v>2</v>
      </c>
      <c r="B19">
        <v>12</v>
      </c>
      <c r="C19" t="s">
        <v>211</v>
      </c>
      <c r="D19" s="18" t="s">
        <v>9</v>
      </c>
      <c r="E19" t="str">
        <f t="shared" si="0"/>
        <v xml:space="preserve">{"row":"2","col":"12","Title":"Vice President, Capital Markets &amp; Trading","Band":"Treasury"}, </v>
      </c>
    </row>
    <row r="20" spans="1:5" x14ac:dyDescent="0.25">
      <c r="A20">
        <v>2</v>
      </c>
      <c r="B20">
        <v>13</v>
      </c>
      <c r="C20" t="s">
        <v>212</v>
      </c>
      <c r="D20" s="18" t="s">
        <v>9</v>
      </c>
      <c r="E20" t="str">
        <f t="shared" si="0"/>
        <v xml:space="preserve">{"row":"2","col":"13","Title":"Vice President, Treasury Advisory","Band":"Treasury"}, </v>
      </c>
    </row>
    <row r="21" spans="1:5" x14ac:dyDescent="0.25">
      <c r="A21">
        <v>2</v>
      </c>
      <c r="B21">
        <v>14</v>
      </c>
      <c r="C21" t="s">
        <v>213</v>
      </c>
      <c r="D21" s="18" t="s">
        <v>9</v>
      </c>
      <c r="E21" t="str">
        <f t="shared" si="0"/>
        <v xml:space="preserve">{"row":"2","col":"14","Title":"Vice President, Treasury Leadership","Band":"Treasury"}, </v>
      </c>
    </row>
    <row r="22" spans="1:5" x14ac:dyDescent="0.25">
      <c r="A22">
        <v>3</v>
      </c>
      <c r="B22">
        <v>1</v>
      </c>
      <c r="C22" t="s">
        <v>210</v>
      </c>
      <c r="D22" s="1" t="s">
        <v>1</v>
      </c>
      <c r="E22" t="str">
        <f t="shared" si="0"/>
        <v xml:space="preserve">{"row":"3","col":"1","Title":"Senior Director, Accounts Payable / Accounts Receivable Process","Band":"Accounts 
Payable / 
Accounts 
Receivable"}, </v>
      </c>
    </row>
    <row r="23" spans="1:5" x14ac:dyDescent="0.25">
      <c r="A23">
        <v>3</v>
      </c>
      <c r="B23">
        <v>2</v>
      </c>
      <c r="C23" t="s">
        <v>29</v>
      </c>
      <c r="D23" s="1" t="s">
        <v>1</v>
      </c>
      <c r="E23" t="str">
        <f t="shared" si="0"/>
        <v xml:space="preserve">{"row":"3","col":"2","Title":"Senior Director, Credit","Band":"Accounts 
Payable / 
Accounts 
Receivable"}, </v>
      </c>
    </row>
    <row r="24" spans="1:5" x14ac:dyDescent="0.25">
      <c r="A24">
        <v>3</v>
      </c>
      <c r="B24">
        <v>3</v>
      </c>
      <c r="C24" t="s">
        <v>30</v>
      </c>
      <c r="D24" s="11" t="s">
        <v>2</v>
      </c>
      <c r="E24" t="str">
        <f t="shared" si="0"/>
        <v xml:space="preserve">{"row":"3","col":"3","Title":"Senior Director, Corporate Audit","Band":"Corporate Audit"}, </v>
      </c>
    </row>
    <row r="25" spans="1:5" x14ac:dyDescent="0.25">
      <c r="A25">
        <v>3</v>
      </c>
      <c r="B25">
        <v>4</v>
      </c>
      <c r="C25" t="s">
        <v>31</v>
      </c>
      <c r="D25" s="11" t="s">
        <v>2</v>
      </c>
      <c r="E25" t="str">
        <f t="shared" si="0"/>
        <v xml:space="preserve">{"row":"3","col":"4","Title":"Senior Director, Audit Quality &amp; Operations","Band":"Corporate Audit"}, </v>
      </c>
    </row>
    <row r="26" spans="1:5" x14ac:dyDescent="0.25">
      <c r="A26">
        <v>3</v>
      </c>
      <c r="B26">
        <v>5</v>
      </c>
      <c r="C26" t="s">
        <v>32</v>
      </c>
      <c r="D26" s="12" t="s">
        <v>3</v>
      </c>
      <c r="E26" t="str">
        <f t="shared" si="0"/>
        <v xml:space="preserve">{"row":"3","col":"5","Title":"Senior Director, Commercial Finance","Band":"Enterprise Finance"}, </v>
      </c>
    </row>
    <row r="27" spans="1:5" x14ac:dyDescent="0.25">
      <c r="A27">
        <v>3</v>
      </c>
      <c r="B27">
        <v>6</v>
      </c>
      <c r="C27" t="s">
        <v>33</v>
      </c>
      <c r="D27" s="12" t="s">
        <v>3</v>
      </c>
      <c r="E27" t="str">
        <f t="shared" si="0"/>
        <v xml:space="preserve">{"row":"3","col":"6","Title":"Senior Director, Corporate Financial Planning &amp; Analysis","Band":"Enterprise Finance"}, </v>
      </c>
    </row>
    <row r="28" spans="1:5" x14ac:dyDescent="0.25">
      <c r="A28">
        <v>3</v>
      </c>
      <c r="B28">
        <v>7</v>
      </c>
      <c r="C28" t="s">
        <v>34</v>
      </c>
      <c r="D28" s="12" t="s">
        <v>3</v>
      </c>
      <c r="E28" t="str">
        <f t="shared" si="0"/>
        <v xml:space="preserve">{"row":"3","col":"7","Title":"Senior Director, Business Financial Planning &amp; Analysis","Band":"Enterprise Finance"}, </v>
      </c>
    </row>
    <row r="29" spans="1:5" x14ac:dyDescent="0.25">
      <c r="A29">
        <v>3</v>
      </c>
      <c r="B29">
        <v>8</v>
      </c>
      <c r="C29" t="s">
        <v>35</v>
      </c>
      <c r="D29" s="13" t="s">
        <v>4</v>
      </c>
      <c r="E29" t="str">
        <f t="shared" si="0"/>
        <v xml:space="preserve">{"row":"3","col":"8","Title":"Senior Director, Financial Accounting &amp; Controllership","Band":"Financial Accounting"}, </v>
      </c>
    </row>
    <row r="30" spans="1:5" x14ac:dyDescent="0.25">
      <c r="A30">
        <v>3</v>
      </c>
      <c r="B30">
        <v>9</v>
      </c>
      <c r="C30" t="s">
        <v>36</v>
      </c>
      <c r="D30" s="13" t="s">
        <v>4</v>
      </c>
      <c r="E30" t="str">
        <f t="shared" si="0"/>
        <v xml:space="preserve">{"row":"3","col":"9","Title":"Senior Director, Mergers, Acquisitions, Divestitures &amp; Joint Ventures","Band":"Financial Accounting"}, </v>
      </c>
    </row>
    <row r="31" spans="1:5" x14ac:dyDescent="0.25">
      <c r="A31">
        <v>3</v>
      </c>
      <c r="B31">
        <v>10</v>
      </c>
      <c r="C31" t="s">
        <v>37</v>
      </c>
      <c r="D31" s="13" t="s">
        <v>4</v>
      </c>
      <c r="E31" t="str">
        <f t="shared" si="0"/>
        <v xml:space="preserve">{"row":"3","col":"10","Title":"Senior Director, Record to Report","Band":"Financial Accounting"}, </v>
      </c>
    </row>
    <row r="32" spans="1:5" x14ac:dyDescent="0.25">
      <c r="A32">
        <v>3</v>
      </c>
      <c r="B32">
        <v>11</v>
      </c>
      <c r="C32" t="s">
        <v>38</v>
      </c>
      <c r="D32" s="13" t="s">
        <v>4</v>
      </c>
      <c r="E32" t="str">
        <f t="shared" si="0"/>
        <v xml:space="preserve">{"row":"3","col":"11","Title":"Senior Director, Technical Accounting &amp; Reporting","Band":"Financial Accounting"}, </v>
      </c>
    </row>
    <row r="33" spans="1:5" x14ac:dyDescent="0.25">
      <c r="A33">
        <v>3</v>
      </c>
      <c r="B33">
        <v>12</v>
      </c>
      <c r="C33" t="s">
        <v>39</v>
      </c>
      <c r="D33" s="14" t="s">
        <v>5</v>
      </c>
      <c r="E33" t="str">
        <f t="shared" si="0"/>
        <v xml:space="preserve">{"row":"3","col":"12","Title":"Sr Director, Counterparty Risk","Band":"Internal Control"}, </v>
      </c>
    </row>
    <row r="34" spans="1:5" x14ac:dyDescent="0.25">
      <c r="A34">
        <v>3</v>
      </c>
      <c r="B34">
        <v>13</v>
      </c>
      <c r="C34" t="s">
        <v>40</v>
      </c>
      <c r="D34" s="14" t="s">
        <v>5</v>
      </c>
      <c r="E34" t="str">
        <f t="shared" si="0"/>
        <v xml:space="preserve">{"row":"3","col":"13","Title":"Senior Director, Internal Controls","Band":"Internal Control"}, </v>
      </c>
    </row>
    <row r="35" spans="1:5" x14ac:dyDescent="0.25">
      <c r="A35">
        <v>3</v>
      </c>
      <c r="B35">
        <v>14</v>
      </c>
      <c r="C35" t="s">
        <v>41</v>
      </c>
      <c r="D35" s="15" t="s">
        <v>6</v>
      </c>
      <c r="E35" t="str">
        <f t="shared" si="0"/>
        <v xml:space="preserve">{"row":"3","col":"14","Title":"Senior Director, Managerial Accounting","Band":"Managerial Accounting"}, </v>
      </c>
    </row>
    <row r="36" spans="1:5" x14ac:dyDescent="0.25">
      <c r="A36">
        <v>3</v>
      </c>
      <c r="B36">
        <v>15</v>
      </c>
      <c r="C36" t="s">
        <v>42</v>
      </c>
      <c r="D36" s="16" t="s">
        <v>7</v>
      </c>
      <c r="E36" t="str">
        <f t="shared" si="0"/>
        <v xml:space="preserve">{"row":"3","col":"15","Title":"Senior Director, Tax","Band":"Tax"}, </v>
      </c>
    </row>
    <row r="37" spans="1:5" x14ac:dyDescent="0.25">
      <c r="A37">
        <v>3</v>
      </c>
      <c r="B37">
        <v>16</v>
      </c>
      <c r="C37" t="s">
        <v>44</v>
      </c>
      <c r="D37" s="16" t="s">
        <v>7</v>
      </c>
      <c r="E37" t="str">
        <f t="shared" si="0"/>
        <v xml:space="preserve">{"row":"3","col":"16","Title":"Senior Director, Tax Compliance","Band":"Tax"}, </v>
      </c>
    </row>
    <row r="38" spans="1:5" x14ac:dyDescent="0.25">
      <c r="A38">
        <v>3</v>
      </c>
      <c r="B38">
        <v>17</v>
      </c>
      <c r="C38" t="s">
        <v>43</v>
      </c>
      <c r="D38" s="16" t="s">
        <v>7</v>
      </c>
      <c r="E38" t="str">
        <f t="shared" si="0"/>
        <v xml:space="preserve">{"row":"3","col":"17","Title":"Senior Director, Tax Process","Band":"Tax"}, </v>
      </c>
    </row>
    <row r="39" spans="1:5" x14ac:dyDescent="0.25">
      <c r="A39">
        <v>3</v>
      </c>
      <c r="B39">
        <v>18</v>
      </c>
      <c r="C39" t="s">
        <v>45</v>
      </c>
      <c r="D39" s="17" t="s">
        <v>8</v>
      </c>
      <c r="E39" t="str">
        <f t="shared" si="0"/>
        <v xml:space="preserve">{"row":"3","col":"18","Title":"Senior Director, Trade Compliance","Band":"Trade Compliance"}, </v>
      </c>
    </row>
    <row r="40" spans="1:5" x14ac:dyDescent="0.25">
      <c r="A40">
        <v>3</v>
      </c>
      <c r="B40">
        <v>19</v>
      </c>
      <c r="C40" t="s">
        <v>46</v>
      </c>
      <c r="D40" s="17" t="s">
        <v>8</v>
      </c>
      <c r="E40" t="str">
        <f t="shared" si="0"/>
        <v xml:space="preserve">{"row":"3","col":"19","Title":"Senior Director,Customs Advisory","Band":"Trade Compliance"}, </v>
      </c>
    </row>
    <row r="41" spans="1:5" x14ac:dyDescent="0.25">
      <c r="A41">
        <v>3</v>
      </c>
      <c r="B41">
        <v>20</v>
      </c>
      <c r="C41" t="s">
        <v>47</v>
      </c>
      <c r="D41" s="17" t="s">
        <v>8</v>
      </c>
      <c r="E41" t="str">
        <f t="shared" si="0"/>
        <v xml:space="preserve">{"row":"3","col":"20","Title":"Senior Director, Trade Compliance Operations","Band":"Trade Compliance"}, </v>
      </c>
    </row>
    <row r="42" spans="1:5" x14ac:dyDescent="0.25">
      <c r="A42">
        <v>3</v>
      </c>
      <c r="B42">
        <v>21</v>
      </c>
      <c r="C42" t="s">
        <v>48</v>
      </c>
      <c r="D42" s="17" t="s">
        <v>8</v>
      </c>
      <c r="E42" t="str">
        <f t="shared" si="0"/>
        <v xml:space="preserve">{"row":"3","col":"21","Title":"Senior Director, Trade Compliance Excellence","Band":"Trade Compliance"}, </v>
      </c>
    </row>
    <row r="43" spans="1:5" x14ac:dyDescent="0.25">
      <c r="A43">
        <v>3</v>
      </c>
      <c r="B43">
        <v>22</v>
      </c>
      <c r="C43" t="s">
        <v>214</v>
      </c>
      <c r="D43" s="18" t="s">
        <v>9</v>
      </c>
      <c r="E43" t="str">
        <f t="shared" si="0"/>
        <v xml:space="preserve">{"row":"3","col":"22","Title":"Senior Director, Treasury Center of Expertise","Band":"Treasury"}, </v>
      </c>
    </row>
    <row r="44" spans="1:5" x14ac:dyDescent="0.25">
      <c r="A44">
        <v>3</v>
      </c>
      <c r="B44">
        <v>23</v>
      </c>
      <c r="C44" t="s">
        <v>215</v>
      </c>
      <c r="D44" s="18" t="s">
        <v>9</v>
      </c>
      <c r="E44" t="str">
        <f t="shared" si="0"/>
        <v xml:space="preserve">{"row":"3","col":"23","Title":"Senior Director, Cash Management &amp; Treasury Operations","Band":"Treasury"}, </v>
      </c>
    </row>
    <row r="45" spans="1:5" x14ac:dyDescent="0.25">
      <c r="A45">
        <v>3</v>
      </c>
      <c r="B45">
        <v>24</v>
      </c>
      <c r="C45" t="s">
        <v>216</v>
      </c>
      <c r="D45" s="18" t="s">
        <v>9</v>
      </c>
      <c r="E45" t="str">
        <f t="shared" si="0"/>
        <v xml:space="preserve">{"row":"3","col":"24","Title":"Senior Director, Capital Markets &amp; Trading","Band":"Treasury"}, </v>
      </c>
    </row>
    <row r="46" spans="1:5" x14ac:dyDescent="0.25">
      <c r="A46">
        <v>3</v>
      </c>
      <c r="B46">
        <v>25</v>
      </c>
      <c r="C46" t="s">
        <v>217</v>
      </c>
      <c r="D46" s="18" t="s">
        <v>9</v>
      </c>
      <c r="E46" t="str">
        <f t="shared" si="0"/>
        <v xml:space="preserve">{"row":"3","col":"25","Title":"Senior Director, Treasury Advisory","Band":"Treasury"}, </v>
      </c>
    </row>
    <row r="47" spans="1:5" x14ac:dyDescent="0.25">
      <c r="A47">
        <v>3</v>
      </c>
      <c r="B47">
        <v>26</v>
      </c>
      <c r="C47" t="s">
        <v>211</v>
      </c>
      <c r="D47" s="18" t="s">
        <v>9</v>
      </c>
      <c r="E47" t="str">
        <f t="shared" si="0"/>
        <v xml:space="preserve">{"row":"3","col":"26","Title":"Vice President, Capital Markets &amp; Trading","Band":"Treasury"}, </v>
      </c>
    </row>
    <row r="48" spans="1:5" x14ac:dyDescent="0.25">
      <c r="A48">
        <v>4</v>
      </c>
      <c r="B48">
        <v>1</v>
      </c>
      <c r="C48" t="s">
        <v>49</v>
      </c>
      <c r="D48" s="12" t="s">
        <v>3</v>
      </c>
      <c r="E48" t="str">
        <f t="shared" si="0"/>
        <v xml:space="preserve">{"row":"4","col":"1","Title":"Senior Advisor, Commercial Finance","Band":"Enterprise Finance"}, </v>
      </c>
    </row>
    <row r="49" spans="1:5" x14ac:dyDescent="0.25">
      <c r="A49">
        <v>4</v>
      </c>
      <c r="B49">
        <v>2</v>
      </c>
      <c r="C49" t="s">
        <v>50</v>
      </c>
      <c r="D49" s="12" t="s">
        <v>3</v>
      </c>
      <c r="E49" t="str">
        <f t="shared" si="0"/>
        <v xml:space="preserve">{"row":"4","col":"2","Title":"Senior Advisor, Corporate Financial Planning &amp; Analysis","Band":"Enterprise Finance"}, </v>
      </c>
    </row>
    <row r="50" spans="1:5" x14ac:dyDescent="0.25">
      <c r="A50">
        <v>4</v>
      </c>
      <c r="B50">
        <v>3</v>
      </c>
      <c r="C50" t="s">
        <v>51</v>
      </c>
      <c r="D50" s="16" t="s">
        <v>7</v>
      </c>
      <c r="E50" t="str">
        <f t="shared" si="0"/>
        <v xml:space="preserve">{"row":"4","col":"3","Title":"Senior Advisor, Tax","Band":"Tax"}, </v>
      </c>
    </row>
    <row r="51" spans="1:5" x14ac:dyDescent="0.25">
      <c r="A51">
        <v>4</v>
      </c>
      <c r="B51">
        <v>4</v>
      </c>
      <c r="C51" t="s">
        <v>52</v>
      </c>
      <c r="D51" s="16" t="s">
        <v>7</v>
      </c>
      <c r="E51" t="str">
        <f t="shared" si="0"/>
        <v xml:space="preserve">{"row":"4","col":"4","Title":"Senior Advisor, Tax Compliance","Band":"Tax"}, </v>
      </c>
    </row>
    <row r="52" spans="1:5" x14ac:dyDescent="0.25">
      <c r="A52">
        <v>4</v>
      </c>
      <c r="B52">
        <v>5</v>
      </c>
      <c r="C52" t="s">
        <v>53</v>
      </c>
      <c r="D52" s="17" t="s">
        <v>8</v>
      </c>
      <c r="E52" t="str">
        <f t="shared" si="0"/>
        <v xml:space="preserve">{"row":"4","col":"5","Title":"Senior Advisor, Trade Compliance","Band":"Trade Compliance"}, </v>
      </c>
    </row>
    <row r="53" spans="1:5" x14ac:dyDescent="0.25">
      <c r="A53">
        <v>4</v>
      </c>
      <c r="B53">
        <v>6</v>
      </c>
      <c r="C53" t="s">
        <v>218</v>
      </c>
      <c r="D53" s="18" t="s">
        <v>9</v>
      </c>
      <c r="E53" t="str">
        <f t="shared" si="0"/>
        <v xml:space="preserve">{"row":"4","col":"6","Title":"Senior Advisor, Capital Markets &amp; Trading","Band":"Treasury"}, </v>
      </c>
    </row>
    <row r="54" spans="1:5" x14ac:dyDescent="0.25">
      <c r="A54">
        <v>4</v>
      </c>
      <c r="B54">
        <v>7</v>
      </c>
      <c r="C54" t="s">
        <v>219</v>
      </c>
      <c r="D54" s="18" t="s">
        <v>9</v>
      </c>
      <c r="E54" t="str">
        <f t="shared" si="0"/>
        <v xml:space="preserve">{"row":"4","col":"7","Title":"Senior Advisor, Treasury Advisory","Band":"Treasury"}, </v>
      </c>
    </row>
    <row r="55" spans="1:5" x14ac:dyDescent="0.25">
      <c r="A55">
        <v>4</v>
      </c>
      <c r="B55">
        <v>8</v>
      </c>
      <c r="C55" t="s">
        <v>220</v>
      </c>
      <c r="D55" s="18" t="s">
        <v>9</v>
      </c>
      <c r="E55" t="str">
        <f t="shared" si="0"/>
        <v xml:space="preserve">{"row":"4","col":"8","Title":"Senior Advisor, Treasury Leadership","Band":"Treasury"}, </v>
      </c>
    </row>
    <row r="56" spans="1:5" x14ac:dyDescent="0.25">
      <c r="A56">
        <v>5</v>
      </c>
      <c r="B56">
        <v>1</v>
      </c>
      <c r="C56" t="s">
        <v>54</v>
      </c>
      <c r="D56" s="1" t="s">
        <v>1</v>
      </c>
      <c r="E56" t="str">
        <f t="shared" si="0"/>
        <v xml:space="preserve">{"row":"5","col":"1","Title":"Director, Accounts Payable / Accounts Receivable Process","Band":"Accounts 
Payable / 
Accounts 
Receivable"}, </v>
      </c>
    </row>
    <row r="57" spans="1:5" x14ac:dyDescent="0.25">
      <c r="A57">
        <v>5</v>
      </c>
      <c r="B57">
        <v>2</v>
      </c>
      <c r="C57" t="s">
        <v>56</v>
      </c>
      <c r="D57" s="1" t="s">
        <v>1</v>
      </c>
      <c r="E57" t="str">
        <f t="shared" si="0"/>
        <v xml:space="preserve">{"row":"5","col":"2","Title":"Director, Collections &amp; Disputes","Band":"Accounts 
Payable / 
Accounts 
Receivable"}, </v>
      </c>
    </row>
    <row r="58" spans="1:5" x14ac:dyDescent="0.25">
      <c r="A58">
        <v>5</v>
      </c>
      <c r="B58">
        <v>3</v>
      </c>
      <c r="C58" t="s">
        <v>57</v>
      </c>
      <c r="D58" s="1" t="s">
        <v>1</v>
      </c>
      <c r="E58" t="str">
        <f t="shared" si="0"/>
        <v xml:space="preserve">{"row":"5","col":"3","Title":"Director, Credit","Band":"Accounts 
Payable / 
Accounts 
Receivable"}, </v>
      </c>
    </row>
    <row r="59" spans="1:5" x14ac:dyDescent="0.25">
      <c r="A59">
        <v>5</v>
      </c>
      <c r="B59">
        <v>4</v>
      </c>
      <c r="C59" t="s">
        <v>55</v>
      </c>
      <c r="D59" s="11" t="s">
        <v>2</v>
      </c>
      <c r="E59" t="str">
        <f t="shared" si="0"/>
        <v xml:space="preserve">{"row":"5","col":"4","Title":"Director, Audit Quality &amp; Operations","Band":"Corporate Audit"}, </v>
      </c>
    </row>
    <row r="60" spans="1:5" x14ac:dyDescent="0.25">
      <c r="A60">
        <v>5</v>
      </c>
      <c r="B60">
        <v>5</v>
      </c>
      <c r="C60" t="s">
        <v>58</v>
      </c>
      <c r="D60" s="12" t="s">
        <v>3</v>
      </c>
      <c r="E60" t="str">
        <f t="shared" si="0"/>
        <v xml:space="preserve">{"row":"5","col":"5","Title":"Director, Commercial Finance","Band":"Enterprise Finance"}, </v>
      </c>
    </row>
    <row r="61" spans="1:5" x14ac:dyDescent="0.25">
      <c r="A61">
        <v>5</v>
      </c>
      <c r="B61">
        <v>6</v>
      </c>
      <c r="C61" t="s">
        <v>59</v>
      </c>
      <c r="D61" s="12" t="s">
        <v>3</v>
      </c>
      <c r="E61" t="str">
        <f t="shared" si="0"/>
        <v xml:space="preserve">{"row":"5","col":"6","Title":"Director, Corporate Financial Planning &amp; Analysis","Band":"Enterprise Finance"}, </v>
      </c>
    </row>
    <row r="62" spans="1:5" x14ac:dyDescent="0.25">
      <c r="A62">
        <v>5</v>
      </c>
      <c r="B62">
        <v>7</v>
      </c>
      <c r="C62" t="s">
        <v>60</v>
      </c>
      <c r="D62" s="12" t="s">
        <v>3</v>
      </c>
      <c r="E62" t="str">
        <f t="shared" si="0"/>
        <v xml:space="preserve">{"row":"5","col":"7","Title":"Director, Business Financial Planning &amp; Analysis","Band":"Enterprise Finance"}, </v>
      </c>
    </row>
    <row r="63" spans="1:5" x14ac:dyDescent="0.25">
      <c r="A63">
        <v>5</v>
      </c>
      <c r="B63">
        <v>8</v>
      </c>
      <c r="C63" t="s">
        <v>61</v>
      </c>
      <c r="D63" s="13" t="s">
        <v>4</v>
      </c>
      <c r="E63" t="str">
        <f t="shared" si="0"/>
        <v xml:space="preserve">{"row":"5","col":"8","Title":"Director, Financial Accounting &amp; Controllership","Band":"Financial Accounting"}, </v>
      </c>
    </row>
    <row r="64" spans="1:5" x14ac:dyDescent="0.25">
      <c r="A64">
        <v>5</v>
      </c>
      <c r="B64">
        <v>9</v>
      </c>
      <c r="C64" t="s">
        <v>62</v>
      </c>
      <c r="D64" s="13" t="s">
        <v>4</v>
      </c>
      <c r="E64" t="str">
        <f t="shared" si="0"/>
        <v xml:space="preserve">{"row":"5","col":"9","Title":"Director, Consolidations","Band":"Financial Accounting"}, </v>
      </c>
    </row>
    <row r="65" spans="1:5" x14ac:dyDescent="0.25">
      <c r="A65">
        <v>5</v>
      </c>
      <c r="B65">
        <v>10</v>
      </c>
      <c r="C65" t="s">
        <v>63</v>
      </c>
      <c r="D65" s="13" t="s">
        <v>4</v>
      </c>
      <c r="E65" t="str">
        <f t="shared" si="0"/>
        <v xml:space="preserve">{"row":"5","col":"10","Title":"Director, Mergers, Acquisitions, Divestitures &amp; Joint Ventures","Band":"Financial Accounting"}, </v>
      </c>
    </row>
    <row r="66" spans="1:5" x14ac:dyDescent="0.25">
      <c r="A66">
        <v>5</v>
      </c>
      <c r="B66">
        <v>11</v>
      </c>
      <c r="C66" t="s">
        <v>64</v>
      </c>
      <c r="D66" s="13" t="s">
        <v>4</v>
      </c>
      <c r="E66" t="str">
        <f t="shared" si="0"/>
        <v xml:space="preserve">{"row":"5","col":"11","Title":"Director, Record to Report","Band":"Financial Accounting"}, </v>
      </c>
    </row>
    <row r="67" spans="1:5" x14ac:dyDescent="0.25">
      <c r="A67">
        <v>5</v>
      </c>
      <c r="B67">
        <v>12</v>
      </c>
      <c r="C67" t="s">
        <v>65</v>
      </c>
      <c r="D67" s="13" t="s">
        <v>4</v>
      </c>
      <c r="E67" t="str">
        <f t="shared" ref="E67:E130" si="1">"{""row"":""" &amp; A67 &amp; """,""col"":""" &amp; B67 &amp; """,""Title"":""" &amp; C67 &amp; """,""Band"":""" &amp; D67 &amp; """}, "</f>
        <v xml:space="preserve">{"row":"5","col":"12","Title":"Director, Technical Accounting &amp; Reporting (TA)","Band":"Financial Accounting"}, </v>
      </c>
    </row>
    <row r="68" spans="1:5" x14ac:dyDescent="0.25">
      <c r="A68">
        <v>5</v>
      </c>
      <c r="B68">
        <v>13</v>
      </c>
      <c r="C68" t="s">
        <v>66</v>
      </c>
      <c r="D68" s="13" t="s">
        <v>4</v>
      </c>
      <c r="E68" t="str">
        <f t="shared" si="1"/>
        <v xml:space="preserve">{"row":"5","col":"13","Title":"Director, Financial Services Operations","Band":"Financial Accounting"}, </v>
      </c>
    </row>
    <row r="69" spans="1:5" x14ac:dyDescent="0.25">
      <c r="A69">
        <v>5</v>
      </c>
      <c r="B69">
        <v>14</v>
      </c>
      <c r="C69" t="s">
        <v>67</v>
      </c>
      <c r="D69" s="14" t="s">
        <v>5</v>
      </c>
      <c r="E69" t="str">
        <f t="shared" si="1"/>
        <v xml:space="preserve">{"row":"5","col":"14","Title":"Director, Counterparty Risk","Band":"Internal Control"}, </v>
      </c>
    </row>
    <row r="70" spans="1:5" x14ac:dyDescent="0.25">
      <c r="A70">
        <v>5</v>
      </c>
      <c r="B70">
        <v>15</v>
      </c>
      <c r="C70" t="s">
        <v>68</v>
      </c>
      <c r="D70" s="14" t="s">
        <v>5</v>
      </c>
      <c r="E70" t="str">
        <f t="shared" si="1"/>
        <v xml:space="preserve">{"row":"5","col":"15","Title":"Director, Internal Controls","Band":"Internal Control"}, </v>
      </c>
    </row>
    <row r="71" spans="1:5" x14ac:dyDescent="0.25">
      <c r="A71">
        <v>5</v>
      </c>
      <c r="B71">
        <v>16</v>
      </c>
      <c r="C71" t="s">
        <v>69</v>
      </c>
      <c r="D71" s="15" t="s">
        <v>6</v>
      </c>
      <c r="E71" t="str">
        <f t="shared" si="1"/>
        <v xml:space="preserve">{"row":"5","col":"16","Title":"Director, Cost Accounting","Band":"Managerial Accounting"}, </v>
      </c>
    </row>
    <row r="72" spans="1:5" x14ac:dyDescent="0.25">
      <c r="A72">
        <v>5</v>
      </c>
      <c r="B72">
        <v>17</v>
      </c>
      <c r="C72" t="s">
        <v>70</v>
      </c>
      <c r="D72" s="15" t="s">
        <v>6</v>
      </c>
      <c r="E72" t="str">
        <f t="shared" si="1"/>
        <v xml:space="preserve">{"row":"5","col":"17","Title":"Director, Managerial Accounting","Band":"Managerial Accounting"}, </v>
      </c>
    </row>
    <row r="73" spans="1:5" x14ac:dyDescent="0.25">
      <c r="A73">
        <v>5</v>
      </c>
      <c r="B73">
        <v>18</v>
      </c>
      <c r="C73" t="s">
        <v>71</v>
      </c>
      <c r="D73" s="15" t="s">
        <v>6</v>
      </c>
      <c r="E73" t="str">
        <f t="shared" si="1"/>
        <v xml:space="preserve">{"row":"5","col":"18","Title":"Director, Project Accounting (PA)","Band":"Managerial Accounting"}, </v>
      </c>
    </row>
    <row r="74" spans="1:5" x14ac:dyDescent="0.25">
      <c r="A74">
        <v>5</v>
      </c>
      <c r="B74">
        <v>19</v>
      </c>
      <c r="C74" t="s">
        <v>72</v>
      </c>
      <c r="D74" s="16" t="s">
        <v>7</v>
      </c>
      <c r="E74" t="str">
        <f t="shared" si="1"/>
        <v xml:space="preserve">{"row":"5","col":"19","Title":"Director, Tax","Band":"Tax"}, </v>
      </c>
    </row>
    <row r="75" spans="1:5" x14ac:dyDescent="0.25">
      <c r="A75">
        <v>5</v>
      </c>
      <c r="B75">
        <v>20</v>
      </c>
      <c r="C75" t="s">
        <v>73</v>
      </c>
      <c r="D75" s="16" t="s">
        <v>7</v>
      </c>
      <c r="E75" t="str">
        <f t="shared" si="1"/>
        <v xml:space="preserve">{"row":"5","col":"20","Title":"Director, Tax Compliance","Band":"Tax"}, </v>
      </c>
    </row>
    <row r="76" spans="1:5" x14ac:dyDescent="0.25">
      <c r="A76">
        <v>5</v>
      </c>
      <c r="B76">
        <v>21</v>
      </c>
      <c r="C76" t="s">
        <v>74</v>
      </c>
      <c r="D76" s="16" t="s">
        <v>7</v>
      </c>
      <c r="E76" t="str">
        <f t="shared" si="1"/>
        <v xml:space="preserve">{"row":"5","col":"21","Title":"Director, Tax Process","Band":"Tax"}, </v>
      </c>
    </row>
    <row r="77" spans="1:5" x14ac:dyDescent="0.25">
      <c r="A77">
        <v>5</v>
      </c>
      <c r="B77">
        <v>22</v>
      </c>
      <c r="C77" t="s">
        <v>75</v>
      </c>
      <c r="D77" s="17" t="s">
        <v>8</v>
      </c>
      <c r="E77" t="str">
        <f t="shared" si="1"/>
        <v xml:space="preserve">{"row":"5","col":"22","Title":"Director, Customs Advisory","Band":"Trade Compliance"}, </v>
      </c>
    </row>
    <row r="78" spans="1:5" x14ac:dyDescent="0.25">
      <c r="A78">
        <v>5</v>
      </c>
      <c r="B78">
        <v>23</v>
      </c>
      <c r="C78" t="s">
        <v>76</v>
      </c>
      <c r="D78" s="17" t="s">
        <v>8</v>
      </c>
      <c r="E78" t="str">
        <f t="shared" si="1"/>
        <v xml:space="preserve">{"row":"5","col":"23","Title":"Director, Trade Compliance Operations","Band":"Trade Compliance"}, </v>
      </c>
    </row>
    <row r="79" spans="1:5" x14ac:dyDescent="0.25">
      <c r="A79">
        <v>5</v>
      </c>
      <c r="B79">
        <v>24</v>
      </c>
      <c r="C79" t="s">
        <v>77</v>
      </c>
      <c r="D79" s="17" t="s">
        <v>8</v>
      </c>
      <c r="E79" t="str">
        <f t="shared" si="1"/>
        <v xml:space="preserve">{"row":"5","col":"24","Title":"Director, Trade Compliance Excellence","Band":"Trade Compliance"}, </v>
      </c>
    </row>
    <row r="80" spans="1:5" x14ac:dyDescent="0.25">
      <c r="A80">
        <v>5</v>
      </c>
      <c r="B80">
        <v>25</v>
      </c>
      <c r="C80" t="s">
        <v>221</v>
      </c>
      <c r="D80" s="18" t="s">
        <v>9</v>
      </c>
      <c r="E80" t="str">
        <f t="shared" si="1"/>
        <v xml:space="preserve">{"row":"5","col":"25","Title":"Director, Banking Connectivity","Band":"Treasury"}, </v>
      </c>
    </row>
    <row r="81" spans="1:5" x14ac:dyDescent="0.25">
      <c r="A81">
        <v>5</v>
      </c>
      <c r="B81">
        <v>26</v>
      </c>
      <c r="C81" t="s">
        <v>222</v>
      </c>
      <c r="D81" s="18" t="s">
        <v>9</v>
      </c>
      <c r="E81" t="str">
        <f t="shared" si="1"/>
        <v xml:space="preserve">{"row":"5","col":"26","Title":"Director, Banking Documentation","Band":"Treasury"}, </v>
      </c>
    </row>
    <row r="82" spans="1:5" x14ac:dyDescent="0.25">
      <c r="A82">
        <v>5</v>
      </c>
      <c r="B82">
        <v>27</v>
      </c>
      <c r="C82" t="s">
        <v>223</v>
      </c>
      <c r="D82" s="18" t="s">
        <v>9</v>
      </c>
      <c r="E82" t="str">
        <f t="shared" si="1"/>
        <v xml:space="preserve">{"row":"5","col":"27","Title":"Director, Cash Management &amp; Treasury Operations","Band":"Treasury"}, </v>
      </c>
    </row>
    <row r="83" spans="1:5" x14ac:dyDescent="0.25">
      <c r="A83">
        <v>5</v>
      </c>
      <c r="B83">
        <v>28</v>
      </c>
      <c r="C83" t="s">
        <v>224</v>
      </c>
      <c r="D83" s="18" t="s">
        <v>9</v>
      </c>
      <c r="E83" t="str">
        <f t="shared" si="1"/>
        <v xml:space="preserve">{"row":"5","col":"28","Title":"Director, Capital Markets &amp; Trading","Band":"Treasury"}, </v>
      </c>
    </row>
    <row r="84" spans="1:5" x14ac:dyDescent="0.25">
      <c r="A84">
        <v>5</v>
      </c>
      <c r="B84">
        <v>29</v>
      </c>
      <c r="C84" t="s">
        <v>225</v>
      </c>
      <c r="D84" s="18" t="s">
        <v>9</v>
      </c>
      <c r="E84" t="str">
        <f t="shared" si="1"/>
        <v xml:space="preserve">{"row":"5","col":"29","Title":"Director, Treasury Advisory","Band":"Treasury"}, </v>
      </c>
    </row>
    <row r="85" spans="1:5" x14ac:dyDescent="0.25">
      <c r="A85">
        <v>5</v>
      </c>
      <c r="B85">
        <v>30</v>
      </c>
      <c r="C85" t="s">
        <v>218</v>
      </c>
      <c r="D85" s="18" t="s">
        <v>9</v>
      </c>
      <c r="E85" t="str">
        <f t="shared" si="1"/>
        <v xml:space="preserve">{"row":"5","col":"30","Title":"Senior Advisor, Capital Markets &amp; Trading","Band":"Treasury"}, </v>
      </c>
    </row>
    <row r="86" spans="1:5" x14ac:dyDescent="0.25">
      <c r="A86">
        <v>6</v>
      </c>
      <c r="B86">
        <v>1</v>
      </c>
      <c r="C86" t="s">
        <v>78</v>
      </c>
      <c r="D86" s="1" t="s">
        <v>1</v>
      </c>
      <c r="E86" t="str">
        <f t="shared" si="1"/>
        <v xml:space="preserve">{"row":"6","col":"1","Title":"Advisor, Credit","Band":"Accounts 
Payable / 
Accounts 
Receivable"}, </v>
      </c>
    </row>
    <row r="87" spans="1:5" x14ac:dyDescent="0.25">
      <c r="A87">
        <v>6</v>
      </c>
      <c r="B87">
        <v>2</v>
      </c>
      <c r="C87" t="s">
        <v>79</v>
      </c>
      <c r="D87" s="11" t="s">
        <v>2</v>
      </c>
      <c r="E87" t="str">
        <f t="shared" si="1"/>
        <v xml:space="preserve">{"row":"6","col":"2","Title":"Advisor, Corporate Audit","Band":"Corporate Audit"}, </v>
      </c>
    </row>
    <row r="88" spans="1:5" x14ac:dyDescent="0.25">
      <c r="A88">
        <v>6</v>
      </c>
      <c r="B88">
        <v>3</v>
      </c>
      <c r="C88" t="s">
        <v>80</v>
      </c>
      <c r="D88" s="11" t="s">
        <v>2</v>
      </c>
      <c r="E88" t="str">
        <f t="shared" si="1"/>
        <v xml:space="preserve">{"row":"6","col":"3","Title":"Advisor, Audit Risk Advisory","Band":"Corporate Audit"}, </v>
      </c>
    </row>
    <row r="89" spans="1:5" x14ac:dyDescent="0.25">
      <c r="A89">
        <v>6</v>
      </c>
      <c r="B89">
        <v>4</v>
      </c>
      <c r="C89" t="s">
        <v>81</v>
      </c>
      <c r="D89" s="11" t="s">
        <v>2</v>
      </c>
      <c r="E89" t="str">
        <f t="shared" si="1"/>
        <v xml:space="preserve">{"row":"6","col":"4","Title":"Advisor, Audit Quality &amp; Operations","Band":"Corporate Audit"}, </v>
      </c>
    </row>
    <row r="90" spans="1:5" x14ac:dyDescent="0.25">
      <c r="A90">
        <v>6</v>
      </c>
      <c r="B90">
        <v>5</v>
      </c>
      <c r="C90" t="s">
        <v>82</v>
      </c>
      <c r="D90" s="12" t="s">
        <v>3</v>
      </c>
      <c r="E90" t="str">
        <f t="shared" si="1"/>
        <v xml:space="preserve">{"row":"6","col":"5","Title":"Advisor, Commercial Finance","Band":"Enterprise Finance"}, </v>
      </c>
    </row>
    <row r="91" spans="1:5" x14ac:dyDescent="0.25">
      <c r="A91">
        <v>6</v>
      </c>
      <c r="B91">
        <v>6</v>
      </c>
      <c r="C91" t="s">
        <v>83</v>
      </c>
      <c r="D91" s="12" t="s">
        <v>3</v>
      </c>
      <c r="E91" t="str">
        <f t="shared" si="1"/>
        <v xml:space="preserve">{"row":"6","col":"6","Title":"Advisor, Corporate Financial Planning &amp; Analysis","Band":"Enterprise Finance"}, </v>
      </c>
    </row>
    <row r="92" spans="1:5" x14ac:dyDescent="0.25">
      <c r="A92">
        <v>6</v>
      </c>
      <c r="B92">
        <v>7</v>
      </c>
      <c r="C92" t="s">
        <v>84</v>
      </c>
      <c r="D92" s="12" t="s">
        <v>3</v>
      </c>
      <c r="E92" t="str">
        <f t="shared" si="1"/>
        <v xml:space="preserve">{"row":"6","col":"7","Title":"Advisor, Business Financial Planning &amp; Analysis","Band":"Enterprise Finance"}, </v>
      </c>
    </row>
    <row r="93" spans="1:5" x14ac:dyDescent="0.25">
      <c r="A93">
        <v>6</v>
      </c>
      <c r="B93">
        <v>8</v>
      </c>
      <c r="C93" t="s">
        <v>85</v>
      </c>
      <c r="D93" s="13" t="s">
        <v>4</v>
      </c>
      <c r="E93" t="str">
        <f t="shared" si="1"/>
        <v xml:space="preserve">{"row":"6","col":"8","Title":"Advisor, Financial Accounting &amp; Controllership","Band":"Financial Accounting"}, </v>
      </c>
    </row>
    <row r="94" spans="1:5" x14ac:dyDescent="0.25">
      <c r="A94">
        <v>6</v>
      </c>
      <c r="B94">
        <v>9</v>
      </c>
      <c r="C94" t="s">
        <v>86</v>
      </c>
      <c r="D94" s="13" t="s">
        <v>4</v>
      </c>
      <c r="E94" t="str">
        <f t="shared" si="1"/>
        <v xml:space="preserve">{"row":"6","col":"9","Title":"Advisor, Consolidations","Band":"Financial Accounting"}, </v>
      </c>
    </row>
    <row r="95" spans="1:5" x14ac:dyDescent="0.25">
      <c r="A95">
        <v>6</v>
      </c>
      <c r="B95">
        <v>10</v>
      </c>
      <c r="C95" t="s">
        <v>87</v>
      </c>
      <c r="D95" s="13" t="s">
        <v>4</v>
      </c>
      <c r="E95" t="str">
        <f t="shared" si="1"/>
        <v xml:space="preserve">{"row":"6","col":"10","Title":"Advisor, Mergers, Acquisitions, Divestitures &amp; Joint Ventures","Band":"Financial Accounting"}, </v>
      </c>
    </row>
    <row r="96" spans="1:5" x14ac:dyDescent="0.25">
      <c r="A96">
        <v>6</v>
      </c>
      <c r="B96">
        <v>11</v>
      </c>
      <c r="C96" t="s">
        <v>88</v>
      </c>
      <c r="D96" s="13" t="s">
        <v>4</v>
      </c>
      <c r="E96" t="str">
        <f t="shared" si="1"/>
        <v xml:space="preserve">{"row":"6","col":"11","Title":"Advisor, Technical Accounting &amp; Reporting","Band":"Financial Accounting"}, </v>
      </c>
    </row>
    <row r="97" spans="1:5" x14ac:dyDescent="0.25">
      <c r="A97">
        <v>6</v>
      </c>
      <c r="B97">
        <v>12</v>
      </c>
      <c r="C97" t="s">
        <v>89</v>
      </c>
      <c r="D97" s="14" t="s">
        <v>5</v>
      </c>
      <c r="E97" t="str">
        <f t="shared" si="1"/>
        <v xml:space="preserve">{"row":"6","col":"12","Title":"Advisor, Internal Controls","Band":"Internal Control"}, </v>
      </c>
    </row>
    <row r="98" spans="1:5" x14ac:dyDescent="0.25">
      <c r="A98">
        <v>6</v>
      </c>
      <c r="B98">
        <v>13</v>
      </c>
      <c r="C98" t="s">
        <v>90</v>
      </c>
      <c r="D98" s="15" t="s">
        <v>6</v>
      </c>
      <c r="E98" t="str">
        <f t="shared" si="1"/>
        <v xml:space="preserve">{"row":"6","col":"13","Title":"Advisor, Cost Accounting","Band":"Managerial Accounting"}, </v>
      </c>
    </row>
    <row r="99" spans="1:5" x14ac:dyDescent="0.25">
      <c r="A99">
        <v>6</v>
      </c>
      <c r="B99">
        <v>14</v>
      </c>
      <c r="C99" t="s">
        <v>91</v>
      </c>
      <c r="D99" s="15" t="s">
        <v>6</v>
      </c>
      <c r="E99" t="str">
        <f t="shared" si="1"/>
        <v xml:space="preserve">{"row":"6","col":"14","Title":"Advisor, Managerial Accounting","Band":"Managerial Accounting"}, </v>
      </c>
    </row>
    <row r="100" spans="1:5" x14ac:dyDescent="0.25">
      <c r="A100">
        <v>6</v>
      </c>
      <c r="B100">
        <v>15</v>
      </c>
      <c r="C100" t="s">
        <v>92</v>
      </c>
      <c r="D100" s="15" t="s">
        <v>6</v>
      </c>
      <c r="E100" t="str">
        <f t="shared" si="1"/>
        <v xml:space="preserve">{"row":"6","col":"15","Title":"Advisor, Project Accounting","Band":"Managerial Accounting"}, </v>
      </c>
    </row>
    <row r="101" spans="1:5" x14ac:dyDescent="0.25">
      <c r="A101">
        <v>6</v>
      </c>
      <c r="B101">
        <v>16</v>
      </c>
      <c r="C101" t="s">
        <v>93</v>
      </c>
      <c r="D101" s="16" t="s">
        <v>7</v>
      </c>
      <c r="E101" t="str">
        <f t="shared" si="1"/>
        <v xml:space="preserve">{"row":"6","col":"16","Title":"Advisor, Tax","Band":"Tax"}, </v>
      </c>
    </row>
    <row r="102" spans="1:5" x14ac:dyDescent="0.25">
      <c r="A102">
        <v>6</v>
      </c>
      <c r="B102">
        <v>17</v>
      </c>
      <c r="C102" t="s">
        <v>94</v>
      </c>
      <c r="D102" s="16" t="s">
        <v>7</v>
      </c>
      <c r="E102" t="str">
        <f t="shared" si="1"/>
        <v xml:space="preserve">{"row":"6","col":"17","Title":"Advisor, Tax Compliance","Band":"Tax"}, </v>
      </c>
    </row>
    <row r="103" spans="1:5" x14ac:dyDescent="0.25">
      <c r="A103">
        <v>6</v>
      </c>
      <c r="B103">
        <v>18</v>
      </c>
      <c r="C103" t="s">
        <v>95</v>
      </c>
      <c r="D103" s="17" t="s">
        <v>8</v>
      </c>
      <c r="E103" t="str">
        <f t="shared" si="1"/>
        <v xml:space="preserve">{"row":"6","col":"18","Title":"Advisor, Customs Advisory","Band":"Trade Compliance"}, </v>
      </c>
    </row>
    <row r="104" spans="1:5" x14ac:dyDescent="0.25">
      <c r="A104">
        <v>6</v>
      </c>
      <c r="B104">
        <v>19</v>
      </c>
      <c r="C104" t="s">
        <v>96</v>
      </c>
      <c r="D104" s="17" t="s">
        <v>8</v>
      </c>
      <c r="E104" t="str">
        <f t="shared" si="1"/>
        <v xml:space="preserve">{"row":"6","col":"19","Title":"Advisor, Customs Excise Advisory","Band":"Trade Compliance"}, </v>
      </c>
    </row>
    <row r="105" spans="1:5" x14ac:dyDescent="0.25">
      <c r="A105">
        <v>6</v>
      </c>
      <c r="B105">
        <v>20</v>
      </c>
      <c r="C105" t="s">
        <v>97</v>
      </c>
      <c r="D105" s="17" t="s">
        <v>8</v>
      </c>
      <c r="E105" t="str">
        <f t="shared" si="1"/>
        <v xml:space="preserve">{"row":"6","col":"20","Title":"Advisor, Trade Compliance Operations","Band":"Trade Compliance"}, </v>
      </c>
    </row>
    <row r="106" spans="1:5" x14ac:dyDescent="0.25">
      <c r="A106">
        <v>6</v>
      </c>
      <c r="B106">
        <v>21</v>
      </c>
      <c r="C106" t="s">
        <v>98</v>
      </c>
      <c r="D106" s="17" t="s">
        <v>8</v>
      </c>
      <c r="E106" t="str">
        <f t="shared" si="1"/>
        <v xml:space="preserve">{"row":"6","col":"21","Title":"Advisor, Trade Compliance Excellence","Band":"Trade Compliance"}, </v>
      </c>
    </row>
    <row r="107" spans="1:5" x14ac:dyDescent="0.25">
      <c r="A107">
        <v>6</v>
      </c>
      <c r="B107">
        <v>22</v>
      </c>
      <c r="C107" t="s">
        <v>226</v>
      </c>
      <c r="D107" s="18" t="s">
        <v>9</v>
      </c>
      <c r="E107" t="str">
        <f t="shared" si="1"/>
        <v xml:space="preserve">{"row":"6","col":"22","Title":"Advisor, Cash Management &amp; Treasury Operations","Band":"Treasury"}, </v>
      </c>
    </row>
    <row r="108" spans="1:5" x14ac:dyDescent="0.25">
      <c r="A108">
        <v>6</v>
      </c>
      <c r="B108">
        <v>23</v>
      </c>
      <c r="C108" t="s">
        <v>227</v>
      </c>
      <c r="D108" s="18" t="s">
        <v>9</v>
      </c>
      <c r="E108" t="str">
        <f t="shared" si="1"/>
        <v xml:space="preserve">{"row":"6","col":"23","Title":"Advisor, Treasury Advisory","Band":"Treasury"}, </v>
      </c>
    </row>
    <row r="109" spans="1:5" x14ac:dyDescent="0.25">
      <c r="A109">
        <v>6</v>
      </c>
      <c r="B109">
        <v>24</v>
      </c>
      <c r="C109" t="s">
        <v>228</v>
      </c>
      <c r="D109" s="19" t="s">
        <v>10</v>
      </c>
      <c r="E109" t="str">
        <f t="shared" si="1"/>
        <v xml:space="preserve">{"row":"6","col":"24","Title":"Advisor, Insurance Advisory","Band":"Insurance"}, </v>
      </c>
    </row>
    <row r="110" spans="1:5" x14ac:dyDescent="0.25">
      <c r="A110">
        <v>6</v>
      </c>
      <c r="B110">
        <v>25</v>
      </c>
      <c r="C110" t="s">
        <v>229</v>
      </c>
      <c r="D110" s="19" t="s">
        <v>10</v>
      </c>
      <c r="E110" t="str">
        <f t="shared" si="1"/>
        <v xml:space="preserve">{"row":"6","col":"25","Title":"Advisor, Insurance Claims","Band":"Insurance"}, </v>
      </c>
    </row>
    <row r="111" spans="1:5" x14ac:dyDescent="0.25">
      <c r="A111">
        <v>7</v>
      </c>
      <c r="B111">
        <v>1</v>
      </c>
      <c r="C111" t="s">
        <v>99</v>
      </c>
      <c r="D111" s="1" t="s">
        <v>1</v>
      </c>
      <c r="E111" t="str">
        <f t="shared" si="1"/>
        <v xml:space="preserve">{"row":"7","col":"1","Title":"Supervisor II, Accounts Payable / Accounts Receivable Process","Band":"Accounts 
Payable / 
Accounts 
Receivable"}, </v>
      </c>
    </row>
    <row r="112" spans="1:5" x14ac:dyDescent="0.25">
      <c r="A112">
        <v>7</v>
      </c>
      <c r="B112">
        <v>2</v>
      </c>
      <c r="C112" t="s">
        <v>100</v>
      </c>
      <c r="D112" s="1" t="s">
        <v>1</v>
      </c>
      <c r="E112" t="str">
        <f t="shared" si="1"/>
        <v xml:space="preserve">{"row":"7","col":"2","Title":"Supervisor II, Collections &amp; Disputes","Band":"Accounts 
Payable / 
Accounts 
Receivable"}, </v>
      </c>
    </row>
    <row r="113" spans="1:5" x14ac:dyDescent="0.25">
      <c r="A113">
        <v>7</v>
      </c>
      <c r="B113">
        <v>3</v>
      </c>
      <c r="C113" t="s">
        <v>101</v>
      </c>
      <c r="D113" s="1" t="s">
        <v>1</v>
      </c>
      <c r="E113" t="str">
        <f t="shared" si="1"/>
        <v xml:space="preserve">{"row":"7","col":"3","Title":"Supervisor II, Credit","Band":"Accounts 
Payable / 
Accounts 
Receivable"}, </v>
      </c>
    </row>
    <row r="114" spans="1:5" x14ac:dyDescent="0.25">
      <c r="A114">
        <v>7</v>
      </c>
      <c r="B114">
        <v>4</v>
      </c>
      <c r="C114" t="s">
        <v>102</v>
      </c>
      <c r="D114" s="12" t="s">
        <v>3</v>
      </c>
      <c r="E114" t="str">
        <f t="shared" si="1"/>
        <v xml:space="preserve">{"row":"7","col":"4","Title":"Supervisor II, Commercial Finance","Band":"Enterprise Finance"}, </v>
      </c>
    </row>
    <row r="115" spans="1:5" x14ac:dyDescent="0.25">
      <c r="A115">
        <v>7</v>
      </c>
      <c r="B115">
        <v>5</v>
      </c>
      <c r="C115" t="s">
        <v>103</v>
      </c>
      <c r="D115" s="12" t="s">
        <v>3</v>
      </c>
      <c r="E115" t="str">
        <f t="shared" si="1"/>
        <v xml:space="preserve">{"row":"7","col":"5","Title":"Supervisor II, Business Financial Planning &amp; Analysis","Band":"Enterprise Finance"}, </v>
      </c>
    </row>
    <row r="116" spans="1:5" x14ac:dyDescent="0.25">
      <c r="A116">
        <v>7</v>
      </c>
      <c r="B116">
        <v>6</v>
      </c>
      <c r="C116" t="s">
        <v>104</v>
      </c>
      <c r="D116" s="13" t="s">
        <v>4</v>
      </c>
      <c r="E116" t="str">
        <f t="shared" si="1"/>
        <v xml:space="preserve">{"row":"7","col":"6","Title":"Supervisor II, Financial Accounting &amp; Controllership","Band":"Financial Accounting"}, </v>
      </c>
    </row>
    <row r="117" spans="1:5" x14ac:dyDescent="0.25">
      <c r="A117">
        <v>7</v>
      </c>
      <c r="B117">
        <v>7</v>
      </c>
      <c r="C117" t="s">
        <v>105</v>
      </c>
      <c r="D117" s="13" t="s">
        <v>4</v>
      </c>
      <c r="E117" t="str">
        <f t="shared" si="1"/>
        <v xml:space="preserve">{"row":"7","col":"7","Title":"Supervisor II, Consolidations","Band":"Financial Accounting"}, </v>
      </c>
    </row>
    <row r="118" spans="1:5" x14ac:dyDescent="0.25">
      <c r="A118">
        <v>7</v>
      </c>
      <c r="B118">
        <v>8</v>
      </c>
      <c r="C118" t="s">
        <v>106</v>
      </c>
      <c r="D118" s="13" t="s">
        <v>4</v>
      </c>
      <c r="E118" t="str">
        <f t="shared" si="1"/>
        <v xml:space="preserve">{"row":"7","col":"8","Title":"Supervisor II, Record to Report","Band":"Financial Accounting"}, </v>
      </c>
    </row>
    <row r="119" spans="1:5" x14ac:dyDescent="0.25">
      <c r="A119">
        <v>7</v>
      </c>
      <c r="B119">
        <v>9</v>
      </c>
      <c r="C119" t="s">
        <v>107</v>
      </c>
      <c r="D119" s="13" t="s">
        <v>4</v>
      </c>
      <c r="E119" t="str">
        <f t="shared" si="1"/>
        <v xml:space="preserve">{"row":"7","col":"9","Title":"Supervisor II, Financial Services Operations","Band":"Financial Accounting"}, </v>
      </c>
    </row>
    <row r="120" spans="1:5" x14ac:dyDescent="0.25">
      <c r="A120">
        <v>7</v>
      </c>
      <c r="B120">
        <v>10</v>
      </c>
      <c r="C120" t="s">
        <v>108</v>
      </c>
      <c r="D120" s="14" t="s">
        <v>5</v>
      </c>
      <c r="E120" t="str">
        <f t="shared" si="1"/>
        <v xml:space="preserve">{"row":"7","col":"10","Title":"Supervisor II, Internal Controls","Band":"Internal Control"}, </v>
      </c>
    </row>
    <row r="121" spans="1:5" x14ac:dyDescent="0.25">
      <c r="A121">
        <v>7</v>
      </c>
      <c r="B121">
        <v>11</v>
      </c>
      <c r="C121" t="s">
        <v>109</v>
      </c>
      <c r="D121" s="15" t="s">
        <v>6</v>
      </c>
      <c r="E121" t="str">
        <f t="shared" si="1"/>
        <v xml:space="preserve">{"row":"7","col":"11","Title":"Supervisor II, Cost Accounting","Band":"Managerial Accounting"}, </v>
      </c>
    </row>
    <row r="122" spans="1:5" x14ac:dyDescent="0.25">
      <c r="A122">
        <v>7</v>
      </c>
      <c r="B122">
        <v>12</v>
      </c>
      <c r="C122" t="s">
        <v>110</v>
      </c>
      <c r="D122" s="15" t="s">
        <v>6</v>
      </c>
      <c r="E122" t="str">
        <f t="shared" si="1"/>
        <v xml:space="preserve">{"row":"7","col":"12","Title":"Supervisor II, Managerial Accounting","Band":"Managerial Accounting"}, </v>
      </c>
    </row>
    <row r="123" spans="1:5" x14ac:dyDescent="0.25">
      <c r="A123">
        <v>7</v>
      </c>
      <c r="B123">
        <v>13</v>
      </c>
      <c r="C123" t="s">
        <v>111</v>
      </c>
      <c r="D123" s="15" t="s">
        <v>6</v>
      </c>
      <c r="E123" t="str">
        <f t="shared" si="1"/>
        <v xml:space="preserve">{"row":"7","col":"13","Title":"Supervisor II, Project Accounting","Band":"Managerial Accounting"}, </v>
      </c>
    </row>
    <row r="124" spans="1:5" x14ac:dyDescent="0.25">
      <c r="A124">
        <v>7</v>
      </c>
      <c r="B124">
        <v>14</v>
      </c>
      <c r="C124" t="s">
        <v>112</v>
      </c>
      <c r="D124" s="16" t="s">
        <v>7</v>
      </c>
      <c r="E124" t="str">
        <f t="shared" si="1"/>
        <v xml:space="preserve">{"row":"7","col":"14","Title":"Supervisor II, Tax","Band":"Tax"}, </v>
      </c>
    </row>
    <row r="125" spans="1:5" x14ac:dyDescent="0.25">
      <c r="A125">
        <v>7</v>
      </c>
      <c r="B125">
        <v>15</v>
      </c>
      <c r="C125" t="s">
        <v>113</v>
      </c>
      <c r="D125" s="17" t="s">
        <v>8</v>
      </c>
      <c r="E125" t="str">
        <f t="shared" si="1"/>
        <v xml:space="preserve">{"row":"7","col":"15","Title":"Supervisor II, Customs Advisory","Band":"Trade Compliance"}, </v>
      </c>
    </row>
    <row r="126" spans="1:5" x14ac:dyDescent="0.25">
      <c r="A126">
        <v>7</v>
      </c>
      <c r="B126">
        <v>16</v>
      </c>
      <c r="C126" t="s">
        <v>114</v>
      </c>
      <c r="D126" s="17" t="s">
        <v>8</v>
      </c>
      <c r="E126" t="str">
        <f t="shared" si="1"/>
        <v xml:space="preserve">{"row":"7","col":"16","Title":"Supervisor II, Trade Compliance Operations","Band":"Trade Compliance"}, </v>
      </c>
    </row>
    <row r="127" spans="1:5" x14ac:dyDescent="0.25">
      <c r="A127">
        <v>7</v>
      </c>
      <c r="B127">
        <v>17</v>
      </c>
      <c r="C127" t="s">
        <v>115</v>
      </c>
      <c r="D127" s="17" t="s">
        <v>8</v>
      </c>
      <c r="E127" t="str">
        <f t="shared" si="1"/>
        <v xml:space="preserve">{"row":"7","col":"17","Title":"Supervisor II, Trade Compliance Excellence","Band":"Trade Compliance"}, </v>
      </c>
    </row>
    <row r="128" spans="1:5" x14ac:dyDescent="0.25">
      <c r="A128">
        <v>7</v>
      </c>
      <c r="B128">
        <v>18</v>
      </c>
      <c r="C128" t="s">
        <v>230</v>
      </c>
      <c r="D128" s="18" t="s">
        <v>9</v>
      </c>
      <c r="E128" t="str">
        <f t="shared" si="1"/>
        <v xml:space="preserve">{"row":"7","col":"18","Title":"Supervisor II, Treasury Center of Expertise","Band":"Treasury"}, </v>
      </c>
    </row>
    <row r="129" spans="1:5" x14ac:dyDescent="0.25">
      <c r="A129">
        <v>7</v>
      </c>
      <c r="B129">
        <v>19</v>
      </c>
      <c r="C129" t="s">
        <v>231</v>
      </c>
      <c r="D129" s="18" t="s">
        <v>9</v>
      </c>
      <c r="E129" t="str">
        <f t="shared" si="1"/>
        <v xml:space="preserve">{"row":"7","col":"19","Title":"Supervisor II, Cash Management &amp; Treasury Operations","Band":"Treasury"}, </v>
      </c>
    </row>
    <row r="130" spans="1:5" x14ac:dyDescent="0.25">
      <c r="A130">
        <v>8</v>
      </c>
      <c r="B130">
        <v>1</v>
      </c>
      <c r="C130" t="s">
        <v>116</v>
      </c>
      <c r="D130" s="1" t="s">
        <v>1</v>
      </c>
      <c r="E130" t="str">
        <f t="shared" si="1"/>
        <v xml:space="preserve">{"row":"8","col":"1","Title":"Senior Professional, Accounts Payable / Accounts Receivable Process","Band":"Accounts 
Payable / 
Accounts 
Receivable"}, </v>
      </c>
    </row>
    <row r="131" spans="1:5" x14ac:dyDescent="0.25">
      <c r="A131">
        <v>8</v>
      </c>
      <c r="B131">
        <v>2</v>
      </c>
      <c r="C131" t="s">
        <v>117</v>
      </c>
      <c r="D131" s="1" t="s">
        <v>1</v>
      </c>
      <c r="E131" t="str">
        <f t="shared" ref="E131:E194" si="2">"{""row"":""" &amp; A131 &amp; """,""col"":""" &amp; B131 &amp; """,""Title"":""" &amp; C131 &amp; """,""Band"":""" &amp; D131 &amp; """}, "</f>
        <v xml:space="preserve">{"row":"8","col":"2","Title":"Senior Professional, Credit","Band":"Accounts 
Payable / 
Accounts 
Receivable"}, </v>
      </c>
    </row>
    <row r="132" spans="1:5" x14ac:dyDescent="0.25">
      <c r="A132">
        <v>8</v>
      </c>
      <c r="B132">
        <v>3</v>
      </c>
      <c r="C132" t="s">
        <v>118</v>
      </c>
      <c r="D132" s="11" t="s">
        <v>2</v>
      </c>
      <c r="E132" t="str">
        <f t="shared" si="2"/>
        <v xml:space="preserve">{"row":"8","col":"3","Title":"Senior Professional, Corporate Audit","Band":"Corporate Audit"}, </v>
      </c>
    </row>
    <row r="133" spans="1:5" x14ac:dyDescent="0.25">
      <c r="A133">
        <v>8</v>
      </c>
      <c r="B133">
        <v>4</v>
      </c>
      <c r="C133" t="s">
        <v>119</v>
      </c>
      <c r="D133" s="11" t="s">
        <v>2</v>
      </c>
      <c r="E133" t="str">
        <f t="shared" si="2"/>
        <v xml:space="preserve">{"row":"8","col":"4","Title":"Senior Professional, Audit Quality &amp; Operations","Band":"Corporate Audit"}, </v>
      </c>
    </row>
    <row r="134" spans="1:5" x14ac:dyDescent="0.25">
      <c r="A134">
        <v>8</v>
      </c>
      <c r="B134">
        <v>5</v>
      </c>
      <c r="C134" t="s">
        <v>120</v>
      </c>
      <c r="D134" s="12" t="s">
        <v>3</v>
      </c>
      <c r="E134" t="str">
        <f t="shared" si="2"/>
        <v xml:space="preserve">{"row":"8","col":"5","Title":"Senior Professional, Commercial Finance","Band":"Enterprise Finance"}, </v>
      </c>
    </row>
    <row r="135" spans="1:5" x14ac:dyDescent="0.25">
      <c r="A135">
        <v>8</v>
      </c>
      <c r="B135">
        <v>6</v>
      </c>
      <c r="C135" t="s">
        <v>121</v>
      </c>
      <c r="D135" s="12" t="s">
        <v>3</v>
      </c>
      <c r="E135" t="str">
        <f t="shared" si="2"/>
        <v xml:space="preserve">{"row":"8","col":"6","Title":"Senior Professional, Corporate Financial Planning &amp; Analysis","Band":"Enterprise Finance"}, </v>
      </c>
    </row>
    <row r="136" spans="1:5" x14ac:dyDescent="0.25">
      <c r="A136">
        <v>8</v>
      </c>
      <c r="B136">
        <v>7</v>
      </c>
      <c r="C136" t="s">
        <v>122</v>
      </c>
      <c r="D136" s="12" t="s">
        <v>3</v>
      </c>
      <c r="E136" t="str">
        <f t="shared" si="2"/>
        <v xml:space="preserve">{"row":"8","col":"7","Title":"Senior Professional, Business FP&amp;A","Band":"Enterprise Finance"}, </v>
      </c>
    </row>
    <row r="137" spans="1:5" x14ac:dyDescent="0.25">
      <c r="A137">
        <v>8</v>
      </c>
      <c r="B137">
        <v>8</v>
      </c>
      <c r="C137" t="s">
        <v>123</v>
      </c>
      <c r="D137" s="13" t="s">
        <v>4</v>
      </c>
      <c r="E137" t="str">
        <f t="shared" si="2"/>
        <v xml:space="preserve">{"row":"8","col":"8","Title":"Senior Professional, Financial Accounting &amp; Controllership","Band":"Financial Accounting"}, </v>
      </c>
    </row>
    <row r="138" spans="1:5" x14ac:dyDescent="0.25">
      <c r="A138">
        <v>8</v>
      </c>
      <c r="B138">
        <v>9</v>
      </c>
      <c r="C138" t="s">
        <v>124</v>
      </c>
      <c r="D138" s="13" t="s">
        <v>4</v>
      </c>
      <c r="E138" t="str">
        <f t="shared" si="2"/>
        <v xml:space="preserve">{"row":"8","col":"9","Title":"Senior Professional, Consolidations","Band":"Financial Accounting"}, </v>
      </c>
    </row>
    <row r="139" spans="1:5" x14ac:dyDescent="0.25">
      <c r="A139">
        <v>8</v>
      </c>
      <c r="B139">
        <v>10</v>
      </c>
      <c r="C139" t="s">
        <v>125</v>
      </c>
      <c r="D139" s="13" t="s">
        <v>4</v>
      </c>
      <c r="E139" t="str">
        <f t="shared" si="2"/>
        <v xml:space="preserve">{"row":"8","col":"10","Title":"Senior Professional, Mergers, Acquisitions, Divestitures &amp; Joint Ventures","Band":"Financial Accounting"}, </v>
      </c>
    </row>
    <row r="140" spans="1:5" x14ac:dyDescent="0.25">
      <c r="A140">
        <v>8</v>
      </c>
      <c r="B140">
        <v>11</v>
      </c>
      <c r="C140" t="s">
        <v>126</v>
      </c>
      <c r="D140" s="13" t="s">
        <v>4</v>
      </c>
      <c r="E140" t="str">
        <f t="shared" si="2"/>
        <v xml:space="preserve">{"row":"8","col":"11","Title":"Senior Professional, Record to Report","Band":"Financial Accounting"}, </v>
      </c>
    </row>
    <row r="141" spans="1:5" x14ac:dyDescent="0.25">
      <c r="A141">
        <v>8</v>
      </c>
      <c r="B141">
        <v>12</v>
      </c>
      <c r="C141" t="s">
        <v>127</v>
      </c>
      <c r="D141" s="13" t="s">
        <v>4</v>
      </c>
      <c r="E141" t="str">
        <f t="shared" si="2"/>
        <v xml:space="preserve">{"row":"8","col":"12","Title":"Senior Professional, Technical Accounting &amp; Reporting","Band":"Financial Accounting"}, </v>
      </c>
    </row>
    <row r="142" spans="1:5" x14ac:dyDescent="0.25">
      <c r="A142">
        <v>8</v>
      </c>
      <c r="B142">
        <v>13</v>
      </c>
      <c r="C142" t="s">
        <v>128</v>
      </c>
      <c r="D142" s="13" t="s">
        <v>4</v>
      </c>
      <c r="E142" t="str">
        <f t="shared" si="2"/>
        <v xml:space="preserve">{"row":"8","col":"13","Title":"Senior Professional,Financial Services &amp; Operations ","Band":"Financial Accounting"}, </v>
      </c>
    </row>
    <row r="143" spans="1:5" x14ac:dyDescent="0.25">
      <c r="A143">
        <v>8</v>
      </c>
      <c r="B143">
        <v>14</v>
      </c>
      <c r="C143" t="s">
        <v>129</v>
      </c>
      <c r="D143" s="14" t="s">
        <v>5</v>
      </c>
      <c r="E143" t="str">
        <f t="shared" si="2"/>
        <v xml:space="preserve">{"row":"8","col":"14","Title":"Senior Professional, Counterparty Risk","Band":"Internal Control"}, </v>
      </c>
    </row>
    <row r="144" spans="1:5" x14ac:dyDescent="0.25">
      <c r="A144">
        <v>8</v>
      </c>
      <c r="B144">
        <v>15</v>
      </c>
      <c r="C144" t="s">
        <v>130</v>
      </c>
      <c r="D144" s="14" t="s">
        <v>5</v>
      </c>
      <c r="E144" t="str">
        <f t="shared" si="2"/>
        <v xml:space="preserve">{"row":"8","col":"15","Title":"Senior Professional, Internal Controls","Band":"Internal Control"}, </v>
      </c>
    </row>
    <row r="145" spans="1:5" x14ac:dyDescent="0.25">
      <c r="A145">
        <v>8</v>
      </c>
      <c r="B145">
        <v>16</v>
      </c>
      <c r="C145" t="s">
        <v>131</v>
      </c>
      <c r="D145" s="15" t="s">
        <v>6</v>
      </c>
      <c r="E145" t="str">
        <f t="shared" si="2"/>
        <v xml:space="preserve">{"row":"8","col":"16","Title":"Senior Professional, Cost Accounting","Band":"Managerial Accounting"}, </v>
      </c>
    </row>
    <row r="146" spans="1:5" x14ac:dyDescent="0.25">
      <c r="A146">
        <v>8</v>
      </c>
      <c r="B146">
        <v>17</v>
      </c>
      <c r="C146" t="s">
        <v>132</v>
      </c>
      <c r="D146" s="15" t="s">
        <v>6</v>
      </c>
      <c r="E146" t="str">
        <f t="shared" si="2"/>
        <v xml:space="preserve">{"row":"8","col":"17","Title":"Senior Professional, Managerial Accounting","Band":"Managerial Accounting"}, </v>
      </c>
    </row>
    <row r="147" spans="1:5" x14ac:dyDescent="0.25">
      <c r="A147">
        <v>8</v>
      </c>
      <c r="B147">
        <v>18</v>
      </c>
      <c r="C147" t="s">
        <v>133</v>
      </c>
      <c r="D147" s="15" t="s">
        <v>6</v>
      </c>
      <c r="E147" t="str">
        <f t="shared" si="2"/>
        <v xml:space="preserve">{"row":"8","col":"18","Title":"Senior Professional, Project Accounting","Band":"Managerial Accounting"}, </v>
      </c>
    </row>
    <row r="148" spans="1:5" x14ac:dyDescent="0.25">
      <c r="A148">
        <v>8</v>
      </c>
      <c r="B148">
        <v>19</v>
      </c>
      <c r="C148" t="s">
        <v>134</v>
      </c>
      <c r="D148" s="16" t="s">
        <v>7</v>
      </c>
      <c r="E148" t="str">
        <f t="shared" si="2"/>
        <v xml:space="preserve">{"row":"8","col":"19","Title":"Senior Professional, Tax","Band":"Tax"}, </v>
      </c>
    </row>
    <row r="149" spans="1:5" x14ac:dyDescent="0.25">
      <c r="A149">
        <v>8</v>
      </c>
      <c r="B149">
        <v>20</v>
      </c>
      <c r="C149" t="s">
        <v>135</v>
      </c>
      <c r="D149" s="16" t="s">
        <v>7</v>
      </c>
      <c r="E149" t="str">
        <f t="shared" si="2"/>
        <v xml:space="preserve">{"row":"8","col":"20","Title":"Senior Professional, Tax Compliance","Band":"Tax"}, </v>
      </c>
    </row>
    <row r="150" spans="1:5" x14ac:dyDescent="0.25">
      <c r="A150">
        <v>8</v>
      </c>
      <c r="B150">
        <v>21</v>
      </c>
      <c r="C150" t="s">
        <v>136</v>
      </c>
      <c r="D150" s="16" t="s">
        <v>7</v>
      </c>
      <c r="E150" t="str">
        <f t="shared" si="2"/>
        <v xml:space="preserve">{"row":"8","col":"21","Title":"Senior Professional, Tax Process","Band":"Tax"}, </v>
      </c>
    </row>
    <row r="151" spans="1:5" x14ac:dyDescent="0.25">
      <c r="A151">
        <v>8</v>
      </c>
      <c r="B151">
        <v>22</v>
      </c>
      <c r="C151" t="s">
        <v>137</v>
      </c>
      <c r="D151" s="17" t="s">
        <v>8</v>
      </c>
      <c r="E151" t="str">
        <f t="shared" si="2"/>
        <v xml:space="preserve">{"row":"8","col":"22","Title":"Senior Professional, Customs Advisory","Band":"Trade Compliance"}, </v>
      </c>
    </row>
    <row r="152" spans="1:5" x14ac:dyDescent="0.25">
      <c r="A152">
        <v>8</v>
      </c>
      <c r="B152">
        <v>23</v>
      </c>
      <c r="C152" t="s">
        <v>138</v>
      </c>
      <c r="D152" s="17" t="s">
        <v>8</v>
      </c>
      <c r="E152" t="str">
        <f t="shared" si="2"/>
        <v xml:space="preserve">{"row":"8","col":"23","Title":"Senior Professional, Customs Excise Advisory","Band":"Trade Compliance"}, </v>
      </c>
    </row>
    <row r="153" spans="1:5" x14ac:dyDescent="0.25">
      <c r="A153">
        <v>8</v>
      </c>
      <c r="B153">
        <v>24</v>
      </c>
      <c r="C153" t="s">
        <v>139</v>
      </c>
      <c r="D153" s="17" t="s">
        <v>8</v>
      </c>
      <c r="E153" t="str">
        <f t="shared" si="2"/>
        <v xml:space="preserve">{"row":"8","col":"24","Title":"Senior Professional, Trade Compliance Operations","Band":"Trade Compliance"}, </v>
      </c>
    </row>
    <row r="154" spans="1:5" x14ac:dyDescent="0.25">
      <c r="A154">
        <v>8</v>
      </c>
      <c r="B154">
        <v>25</v>
      </c>
      <c r="C154" t="s">
        <v>140</v>
      </c>
      <c r="D154" s="17" t="s">
        <v>8</v>
      </c>
      <c r="E154" t="str">
        <f t="shared" si="2"/>
        <v xml:space="preserve">{"row":"8","col":"25","Title":"Senior Professional, Trade Compliance Excellence","Band":"Trade Compliance"}, </v>
      </c>
    </row>
    <row r="155" spans="1:5" x14ac:dyDescent="0.25">
      <c r="A155">
        <v>8</v>
      </c>
      <c r="B155">
        <v>26</v>
      </c>
      <c r="C155" t="s">
        <v>232</v>
      </c>
      <c r="D155" s="18" t="s">
        <v>9</v>
      </c>
      <c r="E155" t="str">
        <f t="shared" si="2"/>
        <v xml:space="preserve">{"row":"8","col":"26","Title":"Senior Professional, Banking Connectivity","Band":"Treasury"}, </v>
      </c>
    </row>
    <row r="156" spans="1:5" x14ac:dyDescent="0.25">
      <c r="A156">
        <v>8</v>
      </c>
      <c r="B156">
        <v>27</v>
      </c>
      <c r="C156" t="s">
        <v>233</v>
      </c>
      <c r="D156" s="18" t="s">
        <v>9</v>
      </c>
      <c r="E156" t="str">
        <f t="shared" si="2"/>
        <v xml:space="preserve">{"row":"8","col":"27","Title":"Senior Professional, Banking Documentation","Band":"Treasury"}, </v>
      </c>
    </row>
    <row r="157" spans="1:5" x14ac:dyDescent="0.25">
      <c r="A157">
        <v>8</v>
      </c>
      <c r="B157">
        <v>28</v>
      </c>
      <c r="C157" t="s">
        <v>234</v>
      </c>
      <c r="D157" s="18" t="s">
        <v>9</v>
      </c>
      <c r="E157" t="str">
        <f t="shared" si="2"/>
        <v xml:space="preserve">{"row":"8","col":"28","Title":"Senior Professional, Treasury Center of Expertise","Band":"Treasury"}, </v>
      </c>
    </row>
    <row r="158" spans="1:5" x14ac:dyDescent="0.25">
      <c r="A158">
        <v>8</v>
      </c>
      <c r="B158">
        <v>29</v>
      </c>
      <c r="C158" t="s">
        <v>235</v>
      </c>
      <c r="D158" s="18" t="s">
        <v>9</v>
      </c>
      <c r="E158" t="str">
        <f t="shared" si="2"/>
        <v xml:space="preserve">{"row":"8","col":"29","Title":"Senior Professional, Cash Management &amp; Treasury Operations","Band":"Treasury"}, </v>
      </c>
    </row>
    <row r="159" spans="1:5" x14ac:dyDescent="0.25">
      <c r="A159">
        <v>8</v>
      </c>
      <c r="B159">
        <v>30</v>
      </c>
      <c r="C159" t="s">
        <v>237</v>
      </c>
      <c r="D159" s="18" t="s">
        <v>9</v>
      </c>
      <c r="E159" t="str">
        <f t="shared" si="2"/>
        <v xml:space="preserve">{"row":"8","col":"30","Title":"Senior
Professional, 
Capital 
Markets &amp; 
Trading (TD)","Band":"Treasury"}, </v>
      </c>
    </row>
    <row r="160" spans="1:5" x14ac:dyDescent="0.25">
      <c r="A160">
        <v>8</v>
      </c>
      <c r="B160">
        <v>31</v>
      </c>
      <c r="C160" t="s">
        <v>236</v>
      </c>
      <c r="D160" s="18" t="s">
        <v>9</v>
      </c>
      <c r="E160" t="str">
        <f t="shared" si="2"/>
        <v xml:space="preserve">{"row":"8","col":"31","Title":"Senior
Professional, 
Treasury 
Advisory (TY)","Band":"Treasury"}, </v>
      </c>
    </row>
    <row r="161" spans="1:5" x14ac:dyDescent="0.25">
      <c r="A161">
        <v>8</v>
      </c>
      <c r="B161">
        <v>32</v>
      </c>
      <c r="C161" t="s">
        <v>238</v>
      </c>
      <c r="D161" s="19" t="s">
        <v>10</v>
      </c>
      <c r="E161" t="str">
        <f t="shared" si="2"/>
        <v xml:space="preserve">{"row":"8","col":"32","Title":"Senior Professional, Insurance Advisory","Band":"Insurance"}, </v>
      </c>
    </row>
    <row r="162" spans="1:5" x14ac:dyDescent="0.25">
      <c r="A162">
        <v>8</v>
      </c>
      <c r="B162">
        <v>33</v>
      </c>
      <c r="C162" t="s">
        <v>229</v>
      </c>
      <c r="D162" s="19" t="s">
        <v>10</v>
      </c>
      <c r="E162" t="str">
        <f t="shared" si="2"/>
        <v xml:space="preserve">{"row":"8","col":"33","Title":"Advisor, Insurance Claims","Band":"Insurance"}, </v>
      </c>
    </row>
    <row r="163" spans="1:5" x14ac:dyDescent="0.25">
      <c r="A163">
        <v>9</v>
      </c>
      <c r="B163">
        <v>1</v>
      </c>
      <c r="C163" t="s">
        <v>141</v>
      </c>
      <c r="D163" s="1" t="s">
        <v>1</v>
      </c>
      <c r="E163" t="str">
        <f t="shared" si="2"/>
        <v xml:space="preserve">{"row":"9","col":"1","Title":"Supervisor I, Accounts Payable / Accounts Receivable Process","Band":"Accounts 
Payable / 
Accounts 
Receivable"}, </v>
      </c>
    </row>
    <row r="164" spans="1:5" x14ac:dyDescent="0.25">
      <c r="A164">
        <v>9</v>
      </c>
      <c r="B164">
        <v>2</v>
      </c>
      <c r="C164" t="s">
        <v>142</v>
      </c>
      <c r="D164" s="1" t="s">
        <v>1</v>
      </c>
      <c r="E164" t="str">
        <f t="shared" si="2"/>
        <v xml:space="preserve">{"row":"9","col":"2","Title":"Supervisor I, Collections &amp; Disputes","Band":"Accounts 
Payable / 
Accounts 
Receivable"}, </v>
      </c>
    </row>
    <row r="165" spans="1:5" x14ac:dyDescent="0.25">
      <c r="A165">
        <v>9</v>
      </c>
      <c r="B165">
        <v>3</v>
      </c>
      <c r="C165" t="s">
        <v>143</v>
      </c>
      <c r="D165" s="1" t="s">
        <v>1</v>
      </c>
      <c r="E165" t="str">
        <f t="shared" si="2"/>
        <v xml:space="preserve">{"row":"9","col":"3","Title":"Supervisor I, Credit","Band":"Accounts 
Payable / 
Accounts 
Receivable"}, </v>
      </c>
    </row>
    <row r="166" spans="1:5" x14ac:dyDescent="0.25">
      <c r="A166">
        <v>9</v>
      </c>
      <c r="B166">
        <v>4</v>
      </c>
      <c r="C166" t="s">
        <v>144</v>
      </c>
      <c r="D166" s="12" t="s">
        <v>3</v>
      </c>
      <c r="E166" t="str">
        <f t="shared" si="2"/>
        <v xml:space="preserve">{"row":"9","col":"4","Title":"Supervisor I, Business Financial Planning &amp; Analysis","Band":"Enterprise Finance"}, </v>
      </c>
    </row>
    <row r="167" spans="1:5" x14ac:dyDescent="0.25">
      <c r="A167">
        <v>9</v>
      </c>
      <c r="B167">
        <v>5</v>
      </c>
      <c r="C167" t="s">
        <v>145</v>
      </c>
      <c r="D167" s="13" t="s">
        <v>4</v>
      </c>
      <c r="E167" t="str">
        <f t="shared" si="2"/>
        <v xml:space="preserve">{"row":"9","col":"5","Title":"Supervisor I, Financial Accounting &amp; Controllership","Band":"Financial Accounting"}, </v>
      </c>
    </row>
    <row r="168" spans="1:5" x14ac:dyDescent="0.25">
      <c r="A168">
        <v>9</v>
      </c>
      <c r="B168">
        <v>6</v>
      </c>
      <c r="C168" t="s">
        <v>146</v>
      </c>
      <c r="D168" s="13" t="s">
        <v>4</v>
      </c>
      <c r="E168" t="str">
        <f t="shared" si="2"/>
        <v xml:space="preserve">{"row":"9","col":"6","Title":"Supervisor I, Record to Report","Band":"Financial Accounting"}, </v>
      </c>
    </row>
    <row r="169" spans="1:5" x14ac:dyDescent="0.25">
      <c r="A169">
        <v>9</v>
      </c>
      <c r="B169">
        <v>7</v>
      </c>
      <c r="C169" t="s">
        <v>147</v>
      </c>
      <c r="D169" s="13" t="s">
        <v>4</v>
      </c>
      <c r="E169" t="str">
        <f t="shared" si="2"/>
        <v xml:space="preserve">{"row":"9","col":"7","Title":"Supervisor I, Financial Services &amp; Operations","Band":"Financial Accounting"}, </v>
      </c>
    </row>
    <row r="170" spans="1:5" x14ac:dyDescent="0.25">
      <c r="A170">
        <v>9</v>
      </c>
      <c r="B170">
        <v>8</v>
      </c>
      <c r="C170" t="s">
        <v>148</v>
      </c>
      <c r="D170" s="14" t="s">
        <v>5</v>
      </c>
      <c r="E170" t="str">
        <f t="shared" si="2"/>
        <v xml:space="preserve">{"row":"9","col":"8","Title":"Supervisor I, Internal Controls","Band":"Internal Control"}, </v>
      </c>
    </row>
    <row r="171" spans="1:5" x14ac:dyDescent="0.25">
      <c r="A171">
        <v>9</v>
      </c>
      <c r="B171">
        <v>9</v>
      </c>
      <c r="C171" t="s">
        <v>149</v>
      </c>
      <c r="D171" s="17" t="s">
        <v>8</v>
      </c>
      <c r="E171" t="str">
        <f t="shared" si="2"/>
        <v xml:space="preserve">{"row":"9","col":"9","Title":"Supervisor I, Trade Compliance Operations","Band":"Trade Compliance"}, </v>
      </c>
    </row>
    <row r="172" spans="1:5" x14ac:dyDescent="0.25">
      <c r="A172">
        <v>9</v>
      </c>
      <c r="B172">
        <v>10</v>
      </c>
      <c r="C172" t="s">
        <v>150</v>
      </c>
      <c r="D172" s="17" t="s">
        <v>8</v>
      </c>
      <c r="E172" t="str">
        <f t="shared" si="2"/>
        <v xml:space="preserve">{"row":"9","col":"10","Title":"Supervisor I, Trade Compliance Excellence","Band":"Trade Compliance"}, </v>
      </c>
    </row>
    <row r="173" spans="1:5" x14ac:dyDescent="0.25">
      <c r="A173">
        <v>9</v>
      </c>
      <c r="B173">
        <v>11</v>
      </c>
      <c r="C173" t="s">
        <v>239</v>
      </c>
      <c r="D173" s="18" t="s">
        <v>9</v>
      </c>
      <c r="E173" t="str">
        <f t="shared" si="2"/>
        <v xml:space="preserve">{"row":"9","col":"11","Title":"Supervisor I, Cash Management &amp; Treasury Operations","Band":"Treasury"}, </v>
      </c>
    </row>
    <row r="174" spans="1:5" x14ac:dyDescent="0.25">
      <c r="A174">
        <v>10</v>
      </c>
      <c r="B174">
        <v>1</v>
      </c>
      <c r="C174" t="s">
        <v>151</v>
      </c>
      <c r="D174" s="1" t="s">
        <v>1</v>
      </c>
      <c r="E174" t="str">
        <f t="shared" si="2"/>
        <v xml:space="preserve">{"row":"10","col":"1","Title":"Professional, Accounts Payable / Accounts Receivable Process","Band":"Accounts 
Payable / 
Accounts 
Receivable"}, </v>
      </c>
    </row>
    <row r="175" spans="1:5" x14ac:dyDescent="0.25">
      <c r="A175">
        <v>10</v>
      </c>
      <c r="B175">
        <v>2</v>
      </c>
      <c r="C175" t="s">
        <v>152</v>
      </c>
      <c r="D175" s="1" t="s">
        <v>1</v>
      </c>
      <c r="E175" t="str">
        <f t="shared" si="2"/>
        <v xml:space="preserve">{"row":"10","col":"2","Title":"Professional, Collections &amp; Disputes","Band":"Accounts 
Payable / 
Accounts 
Receivable"}, </v>
      </c>
    </row>
    <row r="176" spans="1:5" x14ac:dyDescent="0.25">
      <c r="A176">
        <v>10</v>
      </c>
      <c r="B176">
        <v>3</v>
      </c>
      <c r="C176" t="s">
        <v>153</v>
      </c>
      <c r="D176" s="1" t="s">
        <v>1</v>
      </c>
      <c r="E176" t="str">
        <f t="shared" si="2"/>
        <v xml:space="preserve">{"row":"10","col":"3","Title":"Professional, Credit","Band":"Accounts 
Payable / 
Accounts 
Receivable"}, </v>
      </c>
    </row>
    <row r="177" spans="1:5" x14ac:dyDescent="0.25">
      <c r="A177">
        <v>10</v>
      </c>
      <c r="B177">
        <v>4</v>
      </c>
      <c r="C177" t="s">
        <v>154</v>
      </c>
      <c r="D177" s="11" t="s">
        <v>2</v>
      </c>
      <c r="E177" t="str">
        <f t="shared" si="2"/>
        <v xml:space="preserve">{"row":"10","col":"4","Title":"Professional, Corporate Audit","Band":"Corporate Audit"}, </v>
      </c>
    </row>
    <row r="178" spans="1:5" x14ac:dyDescent="0.25">
      <c r="A178">
        <v>10</v>
      </c>
      <c r="B178">
        <v>5</v>
      </c>
      <c r="C178" t="s">
        <v>155</v>
      </c>
      <c r="D178" s="12" t="s">
        <v>3</v>
      </c>
      <c r="E178" t="str">
        <f t="shared" si="2"/>
        <v xml:space="preserve">{"row":"10","col":"5","Title":"Professional, Commercial Finance","Band":"Enterprise Finance"}, </v>
      </c>
    </row>
    <row r="179" spans="1:5" x14ac:dyDescent="0.25">
      <c r="A179">
        <v>10</v>
      </c>
      <c r="B179">
        <v>6</v>
      </c>
      <c r="C179" t="s">
        <v>156</v>
      </c>
      <c r="D179" s="12" t="s">
        <v>3</v>
      </c>
      <c r="E179" t="str">
        <f t="shared" si="2"/>
        <v xml:space="preserve">{"row":"10","col":"6","Title":"Professional, Corporate Financial Planning &amp; Analysis","Band":"Enterprise Finance"}, </v>
      </c>
    </row>
    <row r="180" spans="1:5" x14ac:dyDescent="0.25">
      <c r="A180">
        <v>10</v>
      </c>
      <c r="B180">
        <v>7</v>
      </c>
      <c r="C180" t="s">
        <v>157</v>
      </c>
      <c r="D180" s="12" t="s">
        <v>3</v>
      </c>
      <c r="E180" t="str">
        <f t="shared" si="2"/>
        <v xml:space="preserve">{"row":"10","col":"7","Title":"Professional, Business Financial Planning &amp; Analysis","Band":"Enterprise Finance"}, </v>
      </c>
    </row>
    <row r="181" spans="1:5" x14ac:dyDescent="0.25">
      <c r="A181">
        <v>10</v>
      </c>
      <c r="B181">
        <v>8</v>
      </c>
      <c r="C181" t="s">
        <v>158</v>
      </c>
      <c r="D181" s="13" t="s">
        <v>4</v>
      </c>
      <c r="E181" t="str">
        <f t="shared" si="2"/>
        <v xml:space="preserve">{"row":"10","col":"8","Title":"Professional, Financial Accounting &amp; Controllership","Band":"Financial Accounting"}, </v>
      </c>
    </row>
    <row r="182" spans="1:5" x14ac:dyDescent="0.25">
      <c r="A182">
        <v>10</v>
      </c>
      <c r="B182">
        <v>9</v>
      </c>
      <c r="C182" t="s">
        <v>159</v>
      </c>
      <c r="D182" s="13" t="s">
        <v>4</v>
      </c>
      <c r="E182" t="str">
        <f t="shared" si="2"/>
        <v xml:space="preserve">{"row":"10","col":"9","Title":"Professional, Consolidations","Band":"Financial Accounting"}, </v>
      </c>
    </row>
    <row r="183" spans="1:5" x14ac:dyDescent="0.25">
      <c r="A183">
        <v>10</v>
      </c>
      <c r="B183">
        <v>10</v>
      </c>
      <c r="C183" t="s">
        <v>160</v>
      </c>
      <c r="D183" s="13" t="s">
        <v>4</v>
      </c>
      <c r="E183" t="str">
        <f t="shared" si="2"/>
        <v xml:space="preserve">{"row":"10","col":"10","Title":" Professional, 
Mergers, 
Acquisitions, 
Divestitures &amp; 
Joint Ventures
 (DJ)","Band":"Financial Accounting"}, </v>
      </c>
    </row>
    <row r="184" spans="1:5" x14ac:dyDescent="0.25">
      <c r="A184">
        <v>10</v>
      </c>
      <c r="B184">
        <v>11</v>
      </c>
      <c r="C184" t="s">
        <v>161</v>
      </c>
      <c r="D184" s="13" t="s">
        <v>4</v>
      </c>
      <c r="E184" t="str">
        <f t="shared" si="2"/>
        <v xml:space="preserve">{"row":"10","col":"11","Title":"Professional, Record to Report","Band":"Financial Accounting"}, </v>
      </c>
    </row>
    <row r="185" spans="1:5" x14ac:dyDescent="0.25">
      <c r="A185">
        <v>10</v>
      </c>
      <c r="B185">
        <v>12</v>
      </c>
      <c r="C185" t="s">
        <v>162</v>
      </c>
      <c r="D185" s="13" t="s">
        <v>4</v>
      </c>
      <c r="E185" t="str">
        <f t="shared" si="2"/>
        <v xml:space="preserve">{"row":"10","col":"12","Title":"Professional, Technical Accounting &amp; Reporting","Band":"Financial Accounting"}, </v>
      </c>
    </row>
    <row r="186" spans="1:5" x14ac:dyDescent="0.25">
      <c r="A186">
        <v>10</v>
      </c>
      <c r="B186">
        <v>13</v>
      </c>
      <c r="C186" t="s">
        <v>163</v>
      </c>
      <c r="D186" s="13" t="s">
        <v>4</v>
      </c>
      <c r="E186" t="str">
        <f t="shared" si="2"/>
        <v xml:space="preserve">{"row":"10","col":"13","Title":"Professional, Financial Services Operations","Band":"Financial Accounting"}, </v>
      </c>
    </row>
    <row r="187" spans="1:5" x14ac:dyDescent="0.25">
      <c r="A187">
        <v>10</v>
      </c>
      <c r="B187">
        <v>14</v>
      </c>
      <c r="C187" t="s">
        <v>164</v>
      </c>
      <c r="D187" s="14" t="s">
        <v>5</v>
      </c>
      <c r="E187" t="str">
        <f t="shared" si="2"/>
        <v xml:space="preserve">{"row":"10","col":"14","Title":"Professional, Counterparty Risk","Band":"Internal Control"}, </v>
      </c>
    </row>
    <row r="188" spans="1:5" x14ac:dyDescent="0.25">
      <c r="A188">
        <v>10</v>
      </c>
      <c r="B188">
        <v>15</v>
      </c>
      <c r="C188" t="s">
        <v>165</v>
      </c>
      <c r="D188" s="14" t="s">
        <v>5</v>
      </c>
      <c r="E188" t="str">
        <f t="shared" si="2"/>
        <v xml:space="preserve">{"row":"10","col":"15","Title":"Professional, Internal Controls","Band":"Internal Control"}, </v>
      </c>
    </row>
    <row r="189" spans="1:5" x14ac:dyDescent="0.25">
      <c r="A189">
        <v>10</v>
      </c>
      <c r="B189">
        <v>16</v>
      </c>
      <c r="C189" t="s">
        <v>166</v>
      </c>
      <c r="D189" s="15" t="s">
        <v>6</v>
      </c>
      <c r="E189" t="str">
        <f t="shared" si="2"/>
        <v xml:space="preserve">{"row":"10","col":"16","Title":"Professional, Cost Accounting","Band":"Managerial Accounting"}, </v>
      </c>
    </row>
    <row r="190" spans="1:5" x14ac:dyDescent="0.25">
      <c r="A190">
        <v>10</v>
      </c>
      <c r="B190">
        <v>17</v>
      </c>
      <c r="C190" t="s">
        <v>167</v>
      </c>
      <c r="D190" s="15" t="s">
        <v>6</v>
      </c>
      <c r="E190" t="str">
        <f t="shared" si="2"/>
        <v xml:space="preserve">{"row":"10","col":"17","Title":"Professional, Managerial Accounting","Band":"Managerial Accounting"}, </v>
      </c>
    </row>
    <row r="191" spans="1:5" x14ac:dyDescent="0.25">
      <c r="A191">
        <v>10</v>
      </c>
      <c r="B191">
        <v>18</v>
      </c>
      <c r="C191" t="s">
        <v>168</v>
      </c>
      <c r="D191" s="15" t="s">
        <v>6</v>
      </c>
      <c r="E191" t="str">
        <f t="shared" si="2"/>
        <v xml:space="preserve">{"row":"10","col":"18","Title":"Professional, Project Accounting","Band":"Managerial Accounting"}, </v>
      </c>
    </row>
    <row r="192" spans="1:5" x14ac:dyDescent="0.25">
      <c r="A192">
        <v>10</v>
      </c>
      <c r="B192">
        <v>19</v>
      </c>
      <c r="C192" t="s">
        <v>169</v>
      </c>
      <c r="D192" s="16" t="s">
        <v>7</v>
      </c>
      <c r="E192" t="str">
        <f t="shared" si="2"/>
        <v xml:space="preserve">{"row":"10","col":"19","Title":"Professional, Tax","Band":"Tax"}, </v>
      </c>
    </row>
    <row r="193" spans="1:5" x14ac:dyDescent="0.25">
      <c r="A193">
        <v>10</v>
      </c>
      <c r="B193">
        <v>20</v>
      </c>
      <c r="C193" t="s">
        <v>170</v>
      </c>
      <c r="D193" s="16" t="s">
        <v>7</v>
      </c>
      <c r="E193" t="str">
        <f t="shared" si="2"/>
        <v xml:space="preserve">{"row":"10","col":"20","Title":"Professional, Tax Compliance","Band":"Tax"}, </v>
      </c>
    </row>
    <row r="194" spans="1:5" x14ac:dyDescent="0.25">
      <c r="A194">
        <v>10</v>
      </c>
      <c r="B194">
        <v>21</v>
      </c>
      <c r="C194" t="s">
        <v>171</v>
      </c>
      <c r="D194" s="17" t="s">
        <v>8</v>
      </c>
      <c r="E194" t="str">
        <f t="shared" si="2"/>
        <v xml:space="preserve">{"row":"10","col":"21","Title":"Professional, Customs Advisory","Band":"Trade Compliance"}, </v>
      </c>
    </row>
    <row r="195" spans="1:5" x14ac:dyDescent="0.25">
      <c r="A195">
        <v>10</v>
      </c>
      <c r="B195">
        <v>22</v>
      </c>
      <c r="C195" t="s">
        <v>172</v>
      </c>
      <c r="D195" s="17" t="s">
        <v>8</v>
      </c>
      <c r="E195" t="str">
        <f t="shared" ref="E195:E242" si="3">"{""row"":""" &amp; A195 &amp; """,""col"":""" &amp; B195 &amp; """,""Title"":""" &amp; C195 &amp; """,""Band"":""" &amp; D195 &amp; """}, "</f>
        <v xml:space="preserve">{"row":"10","col":"22","Title":"Professional, Customs Excise Advisory","Band":"Trade Compliance"}, </v>
      </c>
    </row>
    <row r="196" spans="1:5" x14ac:dyDescent="0.25">
      <c r="A196">
        <v>10</v>
      </c>
      <c r="B196">
        <v>23</v>
      </c>
      <c r="C196" t="s">
        <v>173</v>
      </c>
      <c r="D196" s="17" t="s">
        <v>8</v>
      </c>
      <c r="E196" t="str">
        <f t="shared" si="3"/>
        <v xml:space="preserve">{"row":"10","col":"23","Title":"Professional, Trade Compliance Operations","Band":"Trade Compliance"}, </v>
      </c>
    </row>
    <row r="197" spans="1:5" x14ac:dyDescent="0.25">
      <c r="A197">
        <v>10</v>
      </c>
      <c r="B197">
        <v>24</v>
      </c>
      <c r="C197" t="s">
        <v>174</v>
      </c>
      <c r="D197" s="17" t="s">
        <v>8</v>
      </c>
      <c r="E197" t="str">
        <f t="shared" si="3"/>
        <v xml:space="preserve">{"row":"10","col":"24","Title":"Professional, Trade Compliance Excellence","Band":"Trade Compliance"}, </v>
      </c>
    </row>
    <row r="198" spans="1:5" x14ac:dyDescent="0.25">
      <c r="A198">
        <v>10</v>
      </c>
      <c r="B198">
        <v>25</v>
      </c>
      <c r="C198" t="s">
        <v>240</v>
      </c>
      <c r="D198" s="18" t="s">
        <v>9</v>
      </c>
      <c r="E198" t="str">
        <f t="shared" si="3"/>
        <v xml:space="preserve">{"row":"10","col":"25","Title":"Professional, Banking Connectivity","Band":"Treasury"}, </v>
      </c>
    </row>
    <row r="199" spans="1:5" x14ac:dyDescent="0.25">
      <c r="A199">
        <v>10</v>
      </c>
      <c r="B199">
        <v>26</v>
      </c>
      <c r="C199" t="s">
        <v>241</v>
      </c>
      <c r="D199" s="18" t="s">
        <v>9</v>
      </c>
      <c r="E199" t="str">
        <f t="shared" si="3"/>
        <v xml:space="preserve">{"row":"10","col":"26","Title":"Professional, Banking Documentation","Band":"Treasury"}, </v>
      </c>
    </row>
    <row r="200" spans="1:5" x14ac:dyDescent="0.25">
      <c r="A200">
        <v>10</v>
      </c>
      <c r="B200">
        <v>27</v>
      </c>
      <c r="C200" t="s">
        <v>242</v>
      </c>
      <c r="D200" s="18" t="s">
        <v>9</v>
      </c>
      <c r="E200" t="str">
        <f t="shared" si="3"/>
        <v xml:space="preserve">{"row":"10","col":"27","Title":"Professional, Treasury Center of Expertise","Band":"Treasury"}, </v>
      </c>
    </row>
    <row r="201" spans="1:5" x14ac:dyDescent="0.25">
      <c r="A201">
        <v>10</v>
      </c>
      <c r="B201">
        <v>28</v>
      </c>
      <c r="C201" t="s">
        <v>243</v>
      </c>
      <c r="D201" s="18" t="s">
        <v>9</v>
      </c>
      <c r="E201" t="str">
        <f t="shared" si="3"/>
        <v xml:space="preserve">{"row":"10","col":"28","Title":"Professional, Cash Management &amp; Treasury Operations","Band":"Treasury"}, </v>
      </c>
    </row>
    <row r="202" spans="1:5" x14ac:dyDescent="0.25">
      <c r="A202">
        <v>10</v>
      </c>
      <c r="B202">
        <v>29</v>
      </c>
      <c r="C202" t="s">
        <v>244</v>
      </c>
      <c r="D202" s="18" t="s">
        <v>9</v>
      </c>
      <c r="E202" t="str">
        <f t="shared" si="3"/>
        <v xml:space="preserve">{"row":"10","col":"29","Title":"Professional, Capital Markets &amp; Trading","Band":"Treasury"}, </v>
      </c>
    </row>
    <row r="203" spans="1:5" x14ac:dyDescent="0.25">
      <c r="A203">
        <v>10</v>
      </c>
      <c r="B203">
        <v>30</v>
      </c>
      <c r="C203" t="s">
        <v>245</v>
      </c>
      <c r="D203" s="18" t="s">
        <v>9</v>
      </c>
      <c r="E203" t="str">
        <f t="shared" si="3"/>
        <v xml:space="preserve">{"row":"10","col":"30","Title":"Professional, Treasury Advisory","Band":"Treasury"}, </v>
      </c>
    </row>
    <row r="204" spans="1:5" x14ac:dyDescent="0.25">
      <c r="A204">
        <v>10</v>
      </c>
      <c r="B204">
        <v>31</v>
      </c>
      <c r="C204" t="s">
        <v>246</v>
      </c>
      <c r="D204" s="19" t="s">
        <v>10</v>
      </c>
      <c r="E204" t="str">
        <f t="shared" si="3"/>
        <v xml:space="preserve">{"row":"10","col":"31","Title":"Professional, Insurance Advisory","Band":"Insurance"}, </v>
      </c>
    </row>
    <row r="205" spans="1:5" x14ac:dyDescent="0.25">
      <c r="A205">
        <v>11</v>
      </c>
      <c r="B205">
        <v>1</v>
      </c>
      <c r="C205" t="s">
        <v>175</v>
      </c>
      <c r="D205" s="1" t="s">
        <v>1</v>
      </c>
      <c r="E205" t="str">
        <f t="shared" si="3"/>
        <v xml:space="preserve">{"row":"11","col":"1","Title":"Associate Professional, Accounts Payable / Accounts Receivable Process","Band":"Accounts 
Payable / 
Accounts 
Receivable"}, </v>
      </c>
    </row>
    <row r="206" spans="1:5" x14ac:dyDescent="0.25">
      <c r="A206">
        <v>11</v>
      </c>
      <c r="B206">
        <v>2</v>
      </c>
      <c r="C206" t="s">
        <v>176</v>
      </c>
      <c r="D206" s="1" t="s">
        <v>1</v>
      </c>
      <c r="E206" t="str">
        <f t="shared" si="3"/>
        <v xml:space="preserve">{"row":"11","col":"2","Title":"Associate Professional, Collections &amp; Disputes","Band":"Accounts 
Payable / 
Accounts 
Receivable"}, </v>
      </c>
    </row>
    <row r="207" spans="1:5" x14ac:dyDescent="0.25">
      <c r="A207">
        <v>11</v>
      </c>
      <c r="B207">
        <v>3</v>
      </c>
      <c r="C207" t="s">
        <v>177</v>
      </c>
      <c r="D207" s="1" t="s">
        <v>1</v>
      </c>
      <c r="E207" t="str">
        <f t="shared" si="3"/>
        <v xml:space="preserve">{"row":"11","col":"3","Title":"Associate Professional, Credit","Band":"Accounts 
Payable / 
Accounts 
Receivable"}, </v>
      </c>
    </row>
    <row r="208" spans="1:5" x14ac:dyDescent="0.25">
      <c r="A208">
        <v>11</v>
      </c>
      <c r="B208">
        <v>4</v>
      </c>
      <c r="C208" t="s">
        <v>178</v>
      </c>
      <c r="D208" s="11" t="s">
        <v>2</v>
      </c>
      <c r="E208" t="str">
        <f t="shared" si="3"/>
        <v xml:space="preserve">{"row":"11","col":"4","Title":"Associate Professional, Corporate Audit","Band":"Corporate Audit"}, </v>
      </c>
    </row>
    <row r="209" spans="1:5" x14ac:dyDescent="0.25">
      <c r="A209">
        <v>11</v>
      </c>
      <c r="B209">
        <v>5</v>
      </c>
      <c r="C209" t="s">
        <v>179</v>
      </c>
      <c r="D209" s="12" t="s">
        <v>3</v>
      </c>
      <c r="E209" t="str">
        <f t="shared" si="3"/>
        <v xml:space="preserve">{"row":"11","col":"5","Title":"Associate Professional, Business Financial Planning &amp; Analysis","Band":"Enterprise Finance"}, </v>
      </c>
    </row>
    <row r="210" spans="1:5" x14ac:dyDescent="0.25">
      <c r="A210">
        <v>11</v>
      </c>
      <c r="B210">
        <v>6</v>
      </c>
      <c r="C210" t="s">
        <v>180</v>
      </c>
      <c r="D210" s="13" t="s">
        <v>4</v>
      </c>
      <c r="E210" t="str">
        <f t="shared" si="3"/>
        <v xml:space="preserve">{"row":"11","col":"6","Title":"Associate Professional, Financial Accounting &amp; Controllership","Band":"Financial Accounting"}, </v>
      </c>
    </row>
    <row r="211" spans="1:5" x14ac:dyDescent="0.25">
      <c r="A211">
        <v>11</v>
      </c>
      <c r="B211">
        <v>7</v>
      </c>
      <c r="C211" t="s">
        <v>181</v>
      </c>
      <c r="D211" s="13" t="s">
        <v>4</v>
      </c>
      <c r="E211" t="str">
        <f t="shared" si="3"/>
        <v xml:space="preserve">{"row":"11","col":"7","Title":"Associate Professional, Consolidations","Band":"Financial Accounting"}, </v>
      </c>
    </row>
    <row r="212" spans="1:5" x14ac:dyDescent="0.25">
      <c r="A212">
        <v>11</v>
      </c>
      <c r="B212">
        <v>8</v>
      </c>
      <c r="C212" t="s">
        <v>182</v>
      </c>
      <c r="D212" s="13" t="s">
        <v>4</v>
      </c>
      <c r="E212" t="str">
        <f t="shared" si="3"/>
        <v xml:space="preserve">{"row":"11","col":"8","Title":"Associate Professional, Record to Report","Band":"Financial Accounting"}, </v>
      </c>
    </row>
    <row r="213" spans="1:5" x14ac:dyDescent="0.25">
      <c r="A213">
        <v>11</v>
      </c>
      <c r="B213">
        <v>9</v>
      </c>
      <c r="C213" t="s">
        <v>183</v>
      </c>
      <c r="D213" s="13" t="s">
        <v>4</v>
      </c>
      <c r="E213" t="str">
        <f t="shared" si="3"/>
        <v xml:space="preserve">{"row":"11","col":"9","Title":"Associate Professional, Financial Services Operations","Band":"Financial Accounting"}, </v>
      </c>
    </row>
    <row r="214" spans="1:5" x14ac:dyDescent="0.25">
      <c r="A214">
        <v>11</v>
      </c>
      <c r="B214">
        <v>10</v>
      </c>
      <c r="C214" t="s">
        <v>184</v>
      </c>
      <c r="D214" s="14" t="s">
        <v>5</v>
      </c>
      <c r="E214" t="str">
        <f t="shared" si="3"/>
        <v xml:space="preserve">{"row":"11","col":"10","Title":"Associate Professional, Internal Controls","Band":"Internal Control"}, </v>
      </c>
    </row>
    <row r="215" spans="1:5" x14ac:dyDescent="0.25">
      <c r="A215">
        <v>11</v>
      </c>
      <c r="B215">
        <v>11</v>
      </c>
      <c r="C215" t="s">
        <v>185</v>
      </c>
      <c r="D215" s="15" t="s">
        <v>6</v>
      </c>
      <c r="E215" t="str">
        <f t="shared" si="3"/>
        <v xml:space="preserve">{"row":"11","col":"11","Title":"Associate Professional, Managerial Accounting","Band":"Managerial Accounting"}, </v>
      </c>
    </row>
    <row r="216" spans="1:5" x14ac:dyDescent="0.25">
      <c r="A216">
        <v>11</v>
      </c>
      <c r="B216">
        <v>12</v>
      </c>
      <c r="C216" t="s">
        <v>186</v>
      </c>
      <c r="D216" s="15" t="s">
        <v>6</v>
      </c>
      <c r="E216" t="str">
        <f t="shared" si="3"/>
        <v xml:space="preserve">{"row":"11","col":"12","Title":"Associate Professional, Project Accounting","Band":"Managerial Accounting"}, </v>
      </c>
    </row>
    <row r="217" spans="1:5" x14ac:dyDescent="0.25">
      <c r="A217">
        <v>11</v>
      </c>
      <c r="B217">
        <v>13</v>
      </c>
      <c r="C217" t="s">
        <v>187</v>
      </c>
      <c r="D217" s="16" t="s">
        <v>7</v>
      </c>
      <c r="E217" t="str">
        <f t="shared" si="3"/>
        <v xml:space="preserve">{"row":"11","col":"13","Title":"Associate Professional, Tax","Band":"Tax"}, </v>
      </c>
    </row>
    <row r="218" spans="1:5" x14ac:dyDescent="0.25">
      <c r="A218">
        <v>11</v>
      </c>
      <c r="B218">
        <v>14</v>
      </c>
      <c r="C218" t="s">
        <v>188</v>
      </c>
      <c r="D218" s="16" t="s">
        <v>7</v>
      </c>
      <c r="E218" t="str">
        <f t="shared" si="3"/>
        <v xml:space="preserve">{"row":"11","col":"14","Title":"Associate Professional, Tax Compliance","Band":"Tax"}, </v>
      </c>
    </row>
    <row r="219" spans="1:5" x14ac:dyDescent="0.25">
      <c r="A219">
        <v>11</v>
      </c>
      <c r="B219">
        <v>15</v>
      </c>
      <c r="C219" t="s">
        <v>189</v>
      </c>
      <c r="D219" s="17" t="s">
        <v>8</v>
      </c>
      <c r="E219" t="str">
        <f t="shared" si="3"/>
        <v xml:space="preserve">{"row":"11","col":"15","Title":"Associate Professional, Customs Advisory","Band":"Trade Compliance"}, </v>
      </c>
    </row>
    <row r="220" spans="1:5" x14ac:dyDescent="0.25">
      <c r="A220">
        <v>11</v>
      </c>
      <c r="B220">
        <v>16</v>
      </c>
      <c r="C220" t="s">
        <v>190</v>
      </c>
      <c r="D220" s="17" t="s">
        <v>8</v>
      </c>
      <c r="E220" t="str">
        <f t="shared" si="3"/>
        <v xml:space="preserve">{"row":"11","col":"16","Title":"Associate Professional, Trade Compliance Operations","Band":"Trade Compliance"}, </v>
      </c>
    </row>
    <row r="221" spans="1:5" x14ac:dyDescent="0.25">
      <c r="A221">
        <v>11</v>
      </c>
      <c r="B221">
        <v>17</v>
      </c>
      <c r="C221" t="s">
        <v>191</v>
      </c>
      <c r="D221" s="17" t="s">
        <v>8</v>
      </c>
      <c r="E221" t="str">
        <f t="shared" si="3"/>
        <v xml:space="preserve">{"row":"11","col":"17","Title":"Associate Professional, Trade Compliance Excellence","Band":"Trade Compliance"}, </v>
      </c>
    </row>
    <row r="222" spans="1:5" x14ac:dyDescent="0.25">
      <c r="A222">
        <v>11</v>
      </c>
      <c r="B222">
        <v>18</v>
      </c>
      <c r="C222" t="s">
        <v>247</v>
      </c>
      <c r="D222" s="18" t="s">
        <v>9</v>
      </c>
      <c r="E222" t="str">
        <f t="shared" si="3"/>
        <v xml:space="preserve">{"row":"11","col":"18","Title":"Associate Professional, Cash Management &amp; Treasury Operations","Band":"Treasury"}, </v>
      </c>
    </row>
    <row r="223" spans="1:5" x14ac:dyDescent="0.25">
      <c r="A223">
        <v>11</v>
      </c>
      <c r="B223">
        <v>19</v>
      </c>
      <c r="C223" t="s">
        <v>248</v>
      </c>
      <c r="D223" s="18" t="s">
        <v>9</v>
      </c>
      <c r="E223" t="str">
        <f t="shared" si="3"/>
        <v xml:space="preserve">{"row":"11","col":"19","Title":"Associate Professional, Treasury Advisory","Band":"Treasury"}, </v>
      </c>
    </row>
    <row r="224" spans="1:5" x14ac:dyDescent="0.25">
      <c r="A224">
        <v>11</v>
      </c>
      <c r="B224">
        <v>20</v>
      </c>
      <c r="C224" t="s">
        <v>249</v>
      </c>
      <c r="D224" s="19" t="s">
        <v>10</v>
      </c>
      <c r="E224" t="str">
        <f t="shared" si="3"/>
        <v xml:space="preserve">{"row":"11","col":"20","Title":"Associate Professional, Insurance Advisory","Band":"Insurance"}, </v>
      </c>
    </row>
    <row r="225" spans="1:5" x14ac:dyDescent="0.25">
      <c r="A225">
        <v>12</v>
      </c>
      <c r="B225">
        <v>1</v>
      </c>
      <c r="C225" t="s">
        <v>192</v>
      </c>
      <c r="D225" s="1" t="s">
        <v>1</v>
      </c>
      <c r="E225" t="str">
        <f t="shared" si="3"/>
        <v xml:space="preserve">{"row":"12","col":"1","Title":"Senior Support Staff, Accounts Payable / Accounts Receivable Process","Band":"Accounts 
Payable / 
Accounts 
Receivable"}, </v>
      </c>
    </row>
    <row r="226" spans="1:5" x14ac:dyDescent="0.25">
      <c r="A226">
        <v>12</v>
      </c>
      <c r="B226">
        <v>2</v>
      </c>
      <c r="C226" t="s">
        <v>193</v>
      </c>
      <c r="D226" s="1" t="s">
        <v>1</v>
      </c>
      <c r="E226" t="str">
        <f t="shared" si="3"/>
        <v xml:space="preserve">{"row":"12","col":"2","Title":"Senior Support Staff, Collections &amp; Disputes","Band":"Accounts 
Payable / 
Accounts 
Receivable"}, </v>
      </c>
    </row>
    <row r="227" spans="1:5" x14ac:dyDescent="0.25">
      <c r="A227">
        <v>12</v>
      </c>
      <c r="B227">
        <v>3</v>
      </c>
      <c r="C227" t="s">
        <v>194</v>
      </c>
      <c r="D227" s="1" t="s">
        <v>1</v>
      </c>
      <c r="E227" t="str">
        <f t="shared" si="3"/>
        <v xml:space="preserve">{"row":"12","col":"3","Title":"Senior Support Staff, Credit","Band":"Accounts 
Payable / 
Accounts 
Receivable"}, </v>
      </c>
    </row>
    <row r="228" spans="1:5" x14ac:dyDescent="0.25">
      <c r="A228">
        <v>12</v>
      </c>
      <c r="B228">
        <v>4</v>
      </c>
      <c r="C228" t="s">
        <v>195</v>
      </c>
      <c r="D228" s="13" t="s">
        <v>4</v>
      </c>
      <c r="E228" t="str">
        <f t="shared" si="3"/>
        <v xml:space="preserve">{"row":"12","col":"4","Title":"Senior Support Staff, Record to Report","Band":"Financial Accounting"}, </v>
      </c>
    </row>
    <row r="229" spans="1:5" x14ac:dyDescent="0.25">
      <c r="A229">
        <v>12</v>
      </c>
      <c r="B229">
        <v>5</v>
      </c>
      <c r="C229" t="s">
        <v>196</v>
      </c>
      <c r="D229" s="15" t="s">
        <v>6</v>
      </c>
      <c r="E229" t="str">
        <f t="shared" si="3"/>
        <v xml:space="preserve">{"row":"12","col":"5","Title":"Senior Support Staff, Project Accounting","Band":"Managerial Accounting"}, </v>
      </c>
    </row>
    <row r="230" spans="1:5" x14ac:dyDescent="0.25">
      <c r="A230">
        <v>12</v>
      </c>
      <c r="B230">
        <v>6</v>
      </c>
      <c r="C230" t="s">
        <v>197</v>
      </c>
      <c r="D230" s="16" t="s">
        <v>7</v>
      </c>
      <c r="E230" t="str">
        <f t="shared" si="3"/>
        <v xml:space="preserve">{"row":"12","col":"6","Title":"Senior Support Staff, Tax","Band":"Tax"}, </v>
      </c>
    </row>
    <row r="231" spans="1:5" x14ac:dyDescent="0.25">
      <c r="A231">
        <v>12</v>
      </c>
      <c r="B231">
        <v>7</v>
      </c>
      <c r="C231" t="s">
        <v>198</v>
      </c>
      <c r="D231" s="17" t="s">
        <v>8</v>
      </c>
      <c r="E231" t="str">
        <f t="shared" si="3"/>
        <v xml:space="preserve">{"row":"12","col":"7","Title":"Senior Support Staff, Trade Compliance Operations","Band":"Trade Compliance"}, </v>
      </c>
    </row>
    <row r="232" spans="1:5" x14ac:dyDescent="0.25">
      <c r="A232">
        <v>12</v>
      </c>
      <c r="B232">
        <v>8</v>
      </c>
      <c r="C232" t="s">
        <v>199</v>
      </c>
      <c r="D232" s="17" t="s">
        <v>8</v>
      </c>
      <c r="E232" t="str">
        <f t="shared" si="3"/>
        <v xml:space="preserve">{"row":"12","col":"8","Title":"Senior Support Staff, Trade Compliance Excellence","Band":"Trade Compliance"}, </v>
      </c>
    </row>
    <row r="233" spans="1:5" x14ac:dyDescent="0.25">
      <c r="A233">
        <v>13</v>
      </c>
      <c r="B233">
        <v>1</v>
      </c>
      <c r="C233" t="s">
        <v>200</v>
      </c>
      <c r="D233" s="1" t="s">
        <v>1</v>
      </c>
      <c r="E233" t="str">
        <f t="shared" si="3"/>
        <v xml:space="preserve">{"row":"13","col":"1","Title":"Support Staff, Accounts Payable / Accounts Receivable Process","Band":"Accounts 
Payable / 
Accounts 
Receivable"}, </v>
      </c>
    </row>
    <row r="234" spans="1:5" x14ac:dyDescent="0.25">
      <c r="A234">
        <v>13</v>
      </c>
      <c r="B234">
        <v>2</v>
      </c>
      <c r="C234" t="s">
        <v>201</v>
      </c>
      <c r="D234" s="1" t="s">
        <v>1</v>
      </c>
      <c r="E234" t="str">
        <f t="shared" si="3"/>
        <v xml:space="preserve">{"row":"13","col":"2","Title":"Support Staff, Collections and Disputes","Band":"Accounts 
Payable / 
Accounts 
Receivable"}, </v>
      </c>
    </row>
    <row r="235" spans="1:5" x14ac:dyDescent="0.25">
      <c r="A235">
        <v>13</v>
      </c>
      <c r="B235">
        <v>3</v>
      </c>
      <c r="C235" t="s">
        <v>202</v>
      </c>
      <c r="D235" s="1" t="s">
        <v>1</v>
      </c>
      <c r="E235" t="str">
        <f t="shared" si="3"/>
        <v xml:space="preserve">{"row":"13","col":"3","Title":"Support Staff, Credit","Band":"Accounts 
Payable / 
Accounts 
Receivable"}, </v>
      </c>
    </row>
    <row r="236" spans="1:5" x14ac:dyDescent="0.25">
      <c r="A236">
        <v>13</v>
      </c>
      <c r="B236">
        <v>4</v>
      </c>
      <c r="C236" t="s">
        <v>203</v>
      </c>
      <c r="D236" s="13" t="s">
        <v>4</v>
      </c>
      <c r="E236" t="str">
        <f t="shared" si="3"/>
        <v xml:space="preserve">{"row":"13","col":"4","Title":"Support Staff, Financial Accounting Record to Report","Band":"Financial Accounting"}, </v>
      </c>
    </row>
    <row r="237" spans="1:5" x14ac:dyDescent="0.25">
      <c r="A237">
        <v>13</v>
      </c>
      <c r="B237">
        <v>5</v>
      </c>
      <c r="C237" t="s">
        <v>204</v>
      </c>
      <c r="D237" s="16" t="s">
        <v>7</v>
      </c>
      <c r="E237" t="str">
        <f t="shared" si="3"/>
        <v xml:space="preserve">{"row":"13","col":"5","Title":"Support Staff, Tax","Band":"Tax"}, </v>
      </c>
    </row>
    <row r="238" spans="1:5" x14ac:dyDescent="0.25">
      <c r="A238">
        <v>13</v>
      </c>
      <c r="B238">
        <v>6</v>
      </c>
      <c r="C238" t="s">
        <v>205</v>
      </c>
      <c r="D238" s="16" t="s">
        <v>7</v>
      </c>
      <c r="E238" t="str">
        <f t="shared" si="3"/>
        <v xml:space="preserve">{"row":"13","col":"6","Title":"Support Staff, Tax Compliance","Band":"Tax"}, </v>
      </c>
    </row>
    <row r="239" spans="1:5" x14ac:dyDescent="0.25">
      <c r="A239">
        <v>14</v>
      </c>
      <c r="B239">
        <v>1</v>
      </c>
      <c r="C239" t="s">
        <v>206</v>
      </c>
      <c r="D239" s="1" t="s">
        <v>1</v>
      </c>
      <c r="E239" t="str">
        <f t="shared" si="3"/>
        <v xml:space="preserve">{"row":"14","col":"1","Title":"Associate Support Staff, Accounts Payable / Accounts Receivable Process","Band":"Accounts 
Payable / 
Accounts 
Receivable"}, </v>
      </c>
    </row>
    <row r="240" spans="1:5" x14ac:dyDescent="0.25">
      <c r="A240">
        <v>14</v>
      </c>
      <c r="B240">
        <v>2</v>
      </c>
      <c r="C240" t="s">
        <v>207</v>
      </c>
      <c r="D240" s="1" t="s">
        <v>1</v>
      </c>
      <c r="E240" t="str">
        <f t="shared" si="3"/>
        <v xml:space="preserve">{"row":"14","col":"2","Title":"Associate Support Staff, Credit","Band":"Accounts 
Payable / 
Accounts 
Receivable"}, </v>
      </c>
    </row>
    <row r="241" spans="1:5" x14ac:dyDescent="0.25">
      <c r="A241">
        <v>14</v>
      </c>
      <c r="B241">
        <v>3</v>
      </c>
      <c r="C241" t="s">
        <v>208</v>
      </c>
      <c r="D241" s="13" t="s">
        <v>4</v>
      </c>
      <c r="E241" t="str">
        <f t="shared" si="3"/>
        <v xml:space="preserve">{"row":"14","col":"3","Title":"Associate Support Staff, Record to Report","Band":"Financial Accounting"}, </v>
      </c>
    </row>
    <row r="242" spans="1:5" x14ac:dyDescent="0.25">
      <c r="A242">
        <v>14</v>
      </c>
      <c r="B242">
        <v>4</v>
      </c>
      <c r="C242" t="s">
        <v>209</v>
      </c>
      <c r="D242" s="16" t="s">
        <v>7</v>
      </c>
      <c r="E242" t="str">
        <f t="shared" si="3"/>
        <v xml:space="preserve">{"row":"14","col":"4","Title":"Associate Support Staff, Tax Compliance","Band":"Tax"}, 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723B-6761-4230-AA13-79E9F43204F9}">
  <dimension ref="B2:B11"/>
  <sheetViews>
    <sheetView workbookViewId="0">
      <selection activeCell="B2" sqref="B2:B11"/>
    </sheetView>
  </sheetViews>
  <sheetFormatPr defaultRowHeight="15" x14ac:dyDescent="0.25"/>
  <cols>
    <col min="2" max="2" width="39.7109375" bestFit="1" customWidth="1"/>
  </cols>
  <sheetData>
    <row r="2" spans="2:2" x14ac:dyDescent="0.25">
      <c r="B2" s="1" t="s">
        <v>1</v>
      </c>
    </row>
    <row r="3" spans="2:2" x14ac:dyDescent="0.25">
      <c r="B3" s="3" t="s">
        <v>2</v>
      </c>
    </row>
    <row r="4" spans="2:2" x14ac:dyDescent="0.25">
      <c r="B4" s="2" t="s">
        <v>3</v>
      </c>
    </row>
    <row r="5" spans="2:2" x14ac:dyDescent="0.25">
      <c r="B5" s="4" t="s">
        <v>4</v>
      </c>
    </row>
    <row r="6" spans="2:2" x14ac:dyDescent="0.25">
      <c r="B6" s="8" t="s">
        <v>5</v>
      </c>
    </row>
    <row r="7" spans="2:2" x14ac:dyDescent="0.25">
      <c r="B7" s="7" t="s">
        <v>6</v>
      </c>
    </row>
    <row r="8" spans="2:2" x14ac:dyDescent="0.25">
      <c r="B8" s="6" t="s">
        <v>7</v>
      </c>
    </row>
    <row r="9" spans="2:2" x14ac:dyDescent="0.25">
      <c r="B9" s="5" t="s">
        <v>8</v>
      </c>
    </row>
    <row r="10" spans="2:2" x14ac:dyDescent="0.25">
      <c r="B10" s="9" t="s">
        <v>9</v>
      </c>
    </row>
    <row r="11" spans="2:2" x14ac:dyDescent="0.25">
      <c r="B11" s="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CADER SAHIB (CRGL-THIRDPARTY.COM)</dc:creator>
  <cp:lastModifiedBy>Cader Sahib</cp:lastModifiedBy>
  <dcterms:created xsi:type="dcterms:W3CDTF">2025-10-22T06:17:30Z</dcterms:created>
  <dcterms:modified xsi:type="dcterms:W3CDTF">2025-10-24T10:30:07Z</dcterms:modified>
</cp:coreProperties>
</file>